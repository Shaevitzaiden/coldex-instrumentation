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den\Documents\GitHub\coldex-instrumentation\other\vacuum_instrumentation_bundle_v2\bom\"/>
    </mc:Choice>
  </mc:AlternateContent>
  <xr:revisionPtr revIDLastSave="0" documentId="13_ncr:1_{7B085659-2B94-4236-B33F-5C8E6D018B9F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Master Checklist" sheetId="1" r:id="rId1"/>
    <sheet name="Summary" sheetId="2" r:id="rId2"/>
    <sheet name="Interface M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<sst xmlns="http://schemas.openxmlformats.org/spreadsheetml/2006/main" count="597" uniqueCount="350">
  <si>
    <t>Subsystem</t>
  </si>
  <si>
    <t>Category</t>
  </si>
  <si>
    <t>Item</t>
  </si>
  <si>
    <t>Qty</t>
  </si>
  <si>
    <t>Priority</t>
  </si>
  <si>
    <t>Status</t>
  </si>
  <si>
    <t>Device / Interface</t>
  </si>
  <si>
    <t>Purpose</t>
  </si>
  <si>
    <t>Example Part</t>
  </si>
  <si>
    <t>Product / Reference URL</t>
  </si>
  <si>
    <t>Notes</t>
  </si>
  <si>
    <t>Core control</t>
  </si>
  <si>
    <t>Existing equipment</t>
  </si>
  <si>
    <t>Main control laptop</t>
  </si>
  <si>
    <t>Required</t>
  </si>
  <si>
    <t>System</t>
  </si>
  <si>
    <t>Runs PyQt GUI, logger, device services, and possibly Agilent software</t>
  </si>
  <si>
    <t>Confirm enough USB/Ethernet connectivity and power.</t>
  </si>
  <si>
    <t>USB dock / hub</t>
  </si>
  <si>
    <t>Central edge-access connection point for USB peripherals</t>
  </si>
  <si>
    <t>Prefer externally powered if many USB devices are connected.</t>
  </si>
  <si>
    <t>Controller</t>
  </si>
  <si>
    <t>Arduino Due</t>
  </si>
  <si>
    <t>Pneumatics / GC sync</t>
  </si>
  <si>
    <t>Main low-level controller for pneumatic valves, relays, other solenoids, and GC APG I/O</t>
  </si>
  <si>
    <t>https://store.arduino.cc/products/arduino-due</t>
  </si>
  <si>
    <t>7–12 V recommended external input; 3.3 V logic.</t>
  </si>
  <si>
    <t>DAQ</t>
  </si>
  <si>
    <t>Adafruit Feather RP2040 Adalogger</t>
  </si>
  <si>
    <t>Need to Buy</t>
  </si>
  <si>
    <t>Analog instruments</t>
  </si>
  <si>
    <t>Samples GP475 and PDR-D-1 analog outputs; two spare ADC channels remain</t>
  </si>
  <si>
    <t>Adafruit PID 5980</t>
  </si>
  <si>
    <t>https://www.adafruit.com/product/5980</t>
  </si>
  <si>
    <t>Baseline uses onboard A0–A3 ADCs; ADS1115 optional.</t>
  </si>
  <si>
    <t>Cable</t>
  </si>
  <si>
    <t>USB data cable for Arduino Due</t>
  </si>
  <si>
    <t>Verify</t>
  </si>
  <si>
    <t>Laptop ↔ Due programming/data</t>
  </si>
  <si>
    <t>Match Due USB connector and dock port.</t>
  </si>
  <si>
    <t>USB-C data cable for Feather</t>
  </si>
  <si>
    <t>Feather DAQ</t>
  </si>
  <si>
    <t>Laptop/dock ↔ Feather USB data + power</t>
  </si>
  <si>
    <t>Must be data-capable.</t>
  </si>
  <si>
    <t>Power</t>
  </si>
  <si>
    <t>Main PSU</t>
  </si>
  <si>
    <t>24 V DC main power supply</t>
  </si>
  <si>
    <t>24 V bus</t>
  </si>
  <si>
    <t>Feeds pneumatic valves, solenoids, and downstream DC/DC converters</t>
  </si>
  <si>
    <t>Mean Well HDR-150-24 (example)</t>
  </si>
  <si>
    <t>https://www.meanwell.com/webapp/product/search.aspx?prod=HDR-150</t>
  </si>
  <si>
    <t>Final wattage must be checked against all 24 V actuator loads.</t>
  </si>
  <si>
    <t>DC/DC</t>
  </si>
  <si>
    <t>Feeds Due barrel jack / VIN from main 24 V bus</t>
  </si>
  <si>
    <t>Pololu D24V22F9</t>
  </si>
  <si>
    <t>https://www.pololu.com/product/2861</t>
  </si>
  <si>
    <t>Compact option; 9 V is inside Due's recommended input range.</t>
  </si>
  <si>
    <t>24 V → 5 V DIN-rail regulator</t>
  </si>
  <si>
    <t>Relay power</t>
  </si>
  <si>
    <t>Dedicated 5 V supply for relay coils/peripherals</t>
  </si>
  <si>
    <t>Mean Well DDR-15G-5</t>
  </si>
  <si>
    <t>https://www.meanwell.com/webapp/product/search.aspx?prod=DDR-15G</t>
  </si>
  <si>
    <t>Keep relay coil current off Due 5 V rail.</t>
  </si>
  <si>
    <t>Distribution</t>
  </si>
  <si>
    <t>24 V DIN terminal blocks / distribution blocks</t>
  </si>
  <si>
    <t>Distribute +24 V and 0 V to branch circuits</t>
  </si>
  <si>
    <t>Quantity depends on number of branches.</t>
  </si>
  <si>
    <t>Protection</t>
  </si>
  <si>
    <t>Branch fuse holders / fused terminal blocks</t>
  </si>
  <si>
    <t>Separate fusing for pneumatics, Due converter, relay converter, other solenoids</t>
  </si>
  <si>
    <t>Finalize ratings after current budget.</t>
  </si>
  <si>
    <t>Main DC fuse / breaker after PSU</t>
  </si>
  <si>
    <t>Recommended</t>
  </si>
  <si>
    <t>Protects primary 24 V distribution wiring</t>
  </si>
  <si>
    <t>Coordinate with PSU and conductor ampacity.</t>
  </si>
  <si>
    <t>Mains</t>
  </si>
  <si>
    <t>Mains inlet / switch / fuse or protected power entry</t>
  </si>
  <si>
    <t>24 V PSU</t>
  </si>
  <si>
    <t>Safe AC mains connection to PSU</t>
  </si>
  <si>
    <t>Use enclosed, strain-relieved, rated implementation.</t>
  </si>
  <si>
    <t>Grounding</t>
  </si>
  <si>
    <t>DIN PE / chassis ground terminals</t>
  </si>
  <si>
    <t>Protective-earth bonding and organized grounding</t>
  </si>
  <si>
    <t>Useful with metal DIN rail / PSU enclosure.</t>
  </si>
  <si>
    <t>AC distribution</t>
  </si>
  <si>
    <t>Laboratory power strip / PDU for standalone instruments</t>
  </si>
  <si>
    <t>External instruments</t>
  </si>
  <si>
    <t>Powers standalone instruments and laptop as applicable</t>
  </si>
  <si>
    <t>Check current rating and outlet count.</t>
  </si>
  <si>
    <t>Pneumatics</t>
  </si>
  <si>
    <t>SMC / Orange Coast manifold with VQC1A01-51 valves</t>
  </si>
  <si>
    <t>Primary pneumatic valve manifold</t>
  </si>
  <si>
    <t>24 V valve power switched through relays/drivers.</t>
  </si>
  <si>
    <t>5 V relay module(s)</t>
  </si>
  <si>
    <t>Switches 24 V valve/solenoid circuits under Due control</t>
  </si>
  <si>
    <t>Elegoo 4-channel 5 V relay module (existing)</t>
  </si>
  <si>
    <t>Confirm relay channel count and JD-VCC/VCC arrangement.</t>
  </si>
  <si>
    <t>Actuator wiring</t>
  </si>
  <si>
    <t>24 V valve/solenoid hookup wire</t>
  </si>
  <si>
    <t>Power wiring from fused distribution through relays to valves</t>
  </si>
  <si>
    <t>Gauge based on current and run length.</t>
  </si>
  <si>
    <t>Flyback / suppression for inductive loads</t>
  </si>
  <si>
    <t>Reduces solenoid switching transients</t>
  </si>
  <si>
    <t>Depends on coil built-in suppression and relay topology.</t>
  </si>
  <si>
    <t>Other actuators</t>
  </si>
  <si>
    <t>Other 24 V solenoids / crusher actuators</t>
  </si>
  <si>
    <t>Additional controlled actuators</t>
  </si>
  <si>
    <t>Record each coil's rated current before finalizing PSU/fuses.</t>
  </si>
  <si>
    <t>GRAPHIX</t>
  </si>
  <si>
    <t>Existing instrument</t>
  </si>
  <si>
    <t>Leybold GRAPHIX gauge controller</t>
  </si>
  <si>
    <t>Have</t>
  </si>
  <si>
    <t>RS-232</t>
  </si>
  <si>
    <t>Digital pressure measurement</t>
  </si>
  <si>
    <t>https://www.leybold.com/en-us/products/vacuum-measurement-and-control/vacuum-gauge-and-pump-controllers/graphix</t>
  </si>
  <si>
    <t>Confirm exact model and baud rate.</t>
  </si>
  <si>
    <t>Interface</t>
  </si>
  <si>
    <t>USB → true RS-232 adapter</t>
  </si>
  <si>
    <t>Laptop USB ↔ GRAPHIX RS-232</t>
  </si>
  <si>
    <t>USBGear USBG-232 (FTDI)</t>
  </si>
  <si>
    <t>https://www.usbgear.com/usbg-232.html</t>
  </si>
  <si>
    <t>Do not substitute TTL UART.</t>
  </si>
  <si>
    <t>Straight-through DB9 male↔female serial cable</t>
  </si>
  <si>
    <t>Connects RS-232 adapter to GRAPHIX rear DB9</t>
  </si>
  <si>
    <t>StarTech MXT1001MBK or equivalent</t>
  </si>
  <si>
    <t>https://www.startech.com/en-us/cables/mxt1001mbk</t>
  </si>
  <si>
    <t>Must be straight-through, not null-modem.</t>
  </si>
  <si>
    <t>GP475</t>
  </si>
  <si>
    <t>Granville-Phillips / MKS 475 Convectron controller</t>
  </si>
  <si>
    <t>Analog</t>
  </si>
  <si>
    <t>Pressure measurement</t>
  </si>
  <si>
    <t>https://www.mks.com/f/475-convectron-vacuum-gauge-controller</t>
  </si>
  <si>
    <t>475001-00-T uses analog output.</t>
  </si>
  <si>
    <t>Connector</t>
  </si>
  <si>
    <t>3.5 mm / 1⁄8 in analog-output breakout</t>
  </si>
  <si>
    <t>Breaks rear analog phone jack out to field wiring</t>
  </si>
  <si>
    <t>3.5 mm plug-to-terminal adapter</t>
  </si>
  <si>
    <t>https://www.adafruit.com/product/2790</t>
  </si>
  <si>
    <t>Verify exact jack contact assignment against manual.</t>
  </si>
  <si>
    <t>Shielded twisted-pair analog cable</t>
  </si>
  <si>
    <t>Analog signal + return to DAQ</t>
  </si>
  <si>
    <t>Belden 9451 or equivalent</t>
  </si>
  <si>
    <t>https://www.digikey.com/en/products/detail/belden-inc/9451-008500/28740168</t>
  </si>
  <si>
    <t>Route away from solenoid wiring.</t>
  </si>
  <si>
    <t>Analog front end</t>
  </si>
  <si>
    <t>30.1 kΩ 0.1% divider resistor</t>
  </si>
  <si>
    <t>DAQ CH0</t>
  </si>
  <si>
    <t>Top resistor for input divider</t>
  </si>
  <si>
    <t>One per populated analog channel.</t>
  </si>
  <si>
    <t>10.0 kΩ 0.1% divider resistor</t>
  </si>
  <si>
    <t>Bottom resistor for input divider</t>
  </si>
  <si>
    <t>100 nF capacitor</t>
  </si>
  <si>
    <t>Input low-pass filtering</t>
  </si>
  <si>
    <t>PDR-D-1</t>
  </si>
  <si>
    <t>MKS PDR-D-1 readout / Baratron power supply</t>
  </si>
  <si>
    <t>https://clara.nz/docs/hardware-unsorted/mks/Pdr-d-man.pdf</t>
  </si>
  <si>
    <t>DC OUT referenced to S GND.</t>
  </si>
  <si>
    <t>Attached MKS Baratron transducer</t>
  </si>
  <si>
    <t>Actual pressure sensor</t>
  </si>
  <si>
    <t>Record exact model and full-scale pressure.</t>
  </si>
  <si>
    <t>DC OUT + S GND to DAQ</t>
  </si>
  <si>
    <t>Order actual run length.</t>
  </si>
  <si>
    <t>DAQ CH1</t>
  </si>
  <si>
    <t>One per channel.</t>
  </si>
  <si>
    <t>Bottom resistor for ADC divider</t>
  </si>
  <si>
    <t>LAUDA</t>
  </si>
  <si>
    <t>LAUDA RP 290 E NTRL</t>
  </si>
  <si>
    <t>Ethernet</t>
  </si>
  <si>
    <t>Temperature control, monitoring, pump control, status/alarm access</t>
  </si>
  <si>
    <t>https://www.lauda.de/us/products/constant-temperature-equipment/thermostats/circulation-and-process-thermostats/pro</t>
  </si>
  <si>
    <t>Serial S230000611; use Ethernet process interface.</t>
  </si>
  <si>
    <t>Network</t>
  </si>
  <si>
    <t>Ethernet patch cable</t>
  </si>
  <si>
    <t>LAUDA ↔ switch/dock/laptop</t>
  </si>
  <si>
    <t>Cat5e/Cat6 is sufficient.</t>
  </si>
  <si>
    <t>Agilent 7890A</t>
  </si>
  <si>
    <t>Agilent Technologies 7890A GC</t>
  </si>
  <si>
    <t>Ethernet + APG Remote</t>
  </si>
  <si>
    <t>Gas chromatography; vendor software remains primary controller</t>
  </si>
  <si>
    <t>https://www.agilent.com/</t>
  </si>
  <si>
    <t>Keep authoritative chromatogram acquisition in Agilent software.</t>
  </si>
  <si>
    <t>7890A</t>
  </si>
  <si>
    <t>GC ↔ network for OpenLab/ChemStation</t>
  </si>
  <si>
    <t>Cat5e/Cat6.</t>
  </si>
  <si>
    <t>Sync interface</t>
  </si>
  <si>
    <t>DB9 cable / breakout for APG REMOTE</t>
  </si>
  <si>
    <t>7890A ↔ Due</t>
  </si>
  <si>
    <t>Carries READY/START/STOP/PREPARE synchronization</t>
  </si>
  <si>
    <t>Wire only documented APG pins.</t>
  </si>
  <si>
    <t>Protected / optoisolated digital interface board</t>
  </si>
  <si>
    <t>TBD</t>
  </si>
  <si>
    <t>Buffers/protects APG signals between GC and Due</t>
  </si>
  <si>
    <t>Final circuit/part selection still needs design.</t>
  </si>
  <si>
    <t>Optional analog</t>
  </si>
  <si>
    <t>Shielded analog cable for SIG1/SIG2</t>
  </si>
  <si>
    <t>Optional</t>
  </si>
  <si>
    <t>7890A → Feather</t>
  </si>
  <si>
    <t>Live approximate detector trace in main GUI</t>
  </si>
  <si>
    <t>Not a replacement for native Agilent acquisition.</t>
  </si>
  <si>
    <t>Infrastructure</t>
  </si>
  <si>
    <t>Small Ethernet switch</t>
  </si>
  <si>
    <t>Conditional</t>
  </si>
  <si>
    <t>LAUDA + 7890A + laptop</t>
  </si>
  <si>
    <t>Provides enough wired network ports if dock/router does not</t>
  </si>
  <si>
    <t>Needed only if existing network cannot accommodate both instruments.</t>
  </si>
  <si>
    <t>Additional Ethernet patch cable to laptop/switch uplink</t>
  </si>
  <si>
    <t>Completes network topology</t>
  </si>
  <si>
    <t>Depends on final topology.</t>
  </si>
  <si>
    <t>Mechanical</t>
  </si>
  <si>
    <t>Structure</t>
  </si>
  <si>
    <t>Rear mounting plate (acrylic or polycarbonate)</t>
  </si>
  <si>
    <t>Assembly</t>
  </si>
  <si>
    <t>Structural mounting surface</t>
  </si>
  <si>
    <t>Polycarbonate is more tolerant of drilled/bolted mounting.</t>
  </si>
  <si>
    <t>Front/top clear plate</t>
  </si>
  <si>
    <t>Protective cover / second plate</t>
  </si>
  <si>
    <t>Material and thickness TBD.</t>
  </si>
  <si>
    <t>Plate-to-plate standoffs/spacers</t>
  </si>
  <si>
    <t>Separates two sheets</t>
  </si>
  <si>
    <t>Length depends on tallest component.</t>
  </si>
  <si>
    <t>PCB mounting</t>
  </si>
  <si>
    <t>M2.5/M3 PCB standoff assortment</t>
  </si>
  <si>
    <t>Due / Feather / small boards</t>
  </si>
  <si>
    <t>Mounts electronics above rear plate</t>
  </si>
  <si>
    <t>Match board hole sizes.</t>
  </si>
  <si>
    <t>General mounting</t>
  </si>
  <si>
    <t>M3 machine bolts + washers + nyloc nuts</t>
  </si>
  <si>
    <t>Small brackets / cable hardware</t>
  </si>
  <si>
    <t>General through-bolted mounting</t>
  </si>
  <si>
    <t>Use washers against plate.</t>
  </si>
  <si>
    <t>Heavy mounting</t>
  </si>
  <si>
    <t>M4 machine bolts + washers + nyloc nuts</t>
  </si>
  <si>
    <t>DIN rail / cable bases / PSU</t>
  </si>
  <si>
    <t>Structural through-bolted mounting</t>
  </si>
  <si>
    <t>Good general standard for rear plate.</t>
  </si>
  <si>
    <t>DIN rail</t>
  </si>
  <si>
    <t>35 mm DIN rail</t>
  </si>
  <si>
    <t>Power/distribution</t>
  </si>
  <si>
    <t>Mounts PSU, converters, fuses, terminals</t>
  </si>
  <si>
    <t>Length based on final layout.</t>
  </si>
  <si>
    <t>Cable management</t>
  </si>
  <si>
    <t>Permanent routing</t>
  </si>
  <si>
    <t>M4 bolt-mount cable-tie bases</t>
  </si>
  <si>
    <t>Internal cables</t>
  </si>
  <si>
    <t>Fixes cable ties to rear plate</t>
  </si>
  <si>
    <t>Panduit TM2S8-C</t>
  </si>
  <si>
    <t>https://www.digikey.com/en/products/detail/panduit-corp/TM2S8-C/1306625</t>
  </si>
  <si>
    <t>Use M4 through-bolts, washer and nyloc nut.</t>
  </si>
  <si>
    <t>Reusable strain relief</t>
  </si>
  <si>
    <t>Reusable ratchet cable clamp near USB dock</t>
  </si>
  <si>
    <t>USB dock</t>
  </si>
  <si>
    <t>Protects dock-connected cable bundle from yanks</t>
  </si>
  <si>
    <t>HellermannTyton RCA90SM6 / 151-01643</t>
  </si>
  <si>
    <t>https://www.hellermanntyton.com/products/clips-clamps-and-plugs/rca90sm6/151-01643</t>
  </si>
  <si>
    <t>Fits ~6.2–13.7 mm bundle; M6 mounting.</t>
  </si>
  <si>
    <t>Routing</t>
  </si>
  <si>
    <t>Slotted wiring duct</t>
  </si>
  <si>
    <t>Organizes longer cable runs</t>
  </si>
  <si>
    <t>Prefer separate signal/analog and power ducts.</t>
  </si>
  <si>
    <t>Ties</t>
  </si>
  <si>
    <t>Cable ties</t>
  </si>
  <si>
    <t>Works with TM2S8-C bases</t>
  </si>
  <si>
    <t>Choose widths compatible with bases.</t>
  </si>
  <si>
    <t>Reusable ties</t>
  </si>
  <si>
    <t>Hook-and-loop cable straps</t>
  </si>
  <si>
    <t>Service loops</t>
  </si>
  <si>
    <t>Reusable bundle restraint</t>
  </si>
  <si>
    <t>Good near serviceable connections.</t>
  </si>
  <si>
    <t>Termination</t>
  </si>
  <si>
    <t>Wire ferrules + ferrule crimper</t>
  </si>
  <si>
    <t>DIN terminal wiring</t>
  </si>
  <si>
    <t>Reliable stranded-wire terminations</t>
  </si>
  <si>
    <t>Useful for 24 V distribution and converters.</t>
  </si>
  <si>
    <t>Labeling</t>
  </si>
  <si>
    <t>Wire / cable labels</t>
  </si>
  <si>
    <t>All wiring</t>
  </si>
  <si>
    <t>Identifies both ends of removable cables</t>
  </si>
  <si>
    <t>Strongly recommended.</t>
  </si>
  <si>
    <t>Optional upgrades</t>
  </si>
  <si>
    <t>ADC</t>
  </si>
  <si>
    <t>ADS1115 16-bit ADC breakout</t>
  </si>
  <si>
    <t>Analog DAQ</t>
  </si>
  <si>
    <t>Higher-resolution/differential alternative to Feather ADC</t>
  </si>
  <si>
    <t>Adafruit PID 1085</t>
  </si>
  <si>
    <t>https://www.adafruit.com/product/1085</t>
  </si>
  <si>
    <t>Not required for baseline pressure acquisition.</t>
  </si>
  <si>
    <t>Local logging</t>
  </si>
  <si>
    <t>microSD card</t>
  </si>
  <si>
    <t>Feather Adalogger</t>
  </si>
  <si>
    <t>Local backup data logging</t>
  </si>
  <si>
    <t>Feather already has microSD socket.</t>
  </si>
  <si>
    <t>System BOM Checklist — Purchase &amp; Verification Summary</t>
  </si>
  <si>
    <t>Metric</t>
  </si>
  <si>
    <t>Count</t>
  </si>
  <si>
    <t>Total line items</t>
  </si>
  <si>
    <t>Verify / Have-Verify</t>
  </si>
  <si>
    <t>Critical items to resolve before final purchase</t>
  </si>
  <si>
    <t>1</t>
  </si>
  <si>
    <t>24 V PSU sizing</t>
  </si>
  <si>
    <t>Record current draw of every 24 V solenoid/actuator before locking PSU and fuse ratings</t>
  </si>
  <si>
    <t>2</t>
  </si>
  <si>
    <t>PDR-D-1 conversion</t>
  </si>
  <si>
    <t>Record exact Baratron model and full-scale pressure</t>
  </si>
  <si>
    <t>3</t>
  </si>
  <si>
    <t>Agilent APG interface</t>
  </si>
  <si>
    <t>Finalize buffer/opto-isolation circuit and connector pinout before ordering interface parts</t>
  </si>
  <si>
    <t>Device</t>
  </si>
  <si>
    <t>System Connection</t>
  </si>
  <si>
    <t>Physical Interface</t>
  </si>
  <si>
    <t>Power Source</t>
  </si>
  <si>
    <t>GUI Integration</t>
  </si>
  <si>
    <t>Key BOM Dependency</t>
  </si>
  <si>
    <t>Laptop + relays + GC APG</t>
  </si>
  <si>
    <t>USB + GPIO</t>
  </si>
  <si>
    <t>Direct USB serial</t>
  </si>
  <si>
    <t>USB cable, 9 V converter, relay wiring</t>
  </si>
  <si>
    <t>Feather RP2040</t>
  </si>
  <si>
    <t>Laptop + GP475 + PDR-D-1</t>
  </si>
  <si>
    <t>USB + analog A0/A1</t>
  </si>
  <si>
    <t>USB from laptop/dock</t>
  </si>
  <si>
    <t>Feather, dividers, shielded analog cable</t>
  </si>
  <si>
    <t>Leybold GRAPHIX</t>
  </si>
  <si>
    <t>Laptop</t>
  </si>
  <si>
    <t>RS-232 via USB adapter</t>
  </si>
  <si>
    <t>Instrument mains</t>
  </si>
  <si>
    <t>Direct serial driver</t>
  </si>
  <si>
    <t>True RS-232 adapter + straight DB9 cable</t>
  </si>
  <si>
    <t>Feather A0</t>
  </si>
  <si>
    <t>0–7 V analog</t>
  </si>
  <si>
    <t>Via Feather DAQ</t>
  </si>
  <si>
    <t>3.5 mm breakout + shielded pair + divider</t>
  </si>
  <si>
    <t>Feather A1</t>
  </si>
  <si>
    <t>0–10 V analog</t>
  </si>
  <si>
    <t>Shielded pair + divider + Baratron range</t>
  </si>
  <si>
    <t>LAUDA RP 290 E</t>
  </si>
  <si>
    <t>Laptop/network</t>
  </si>
  <si>
    <t>Direct Ethernet ASCII commands</t>
  </si>
  <si>
    <t>Ethernet cable / switch if needed</t>
  </si>
  <si>
    <t>OpenLab + Due</t>
  </si>
  <si>
    <t>Vendor software + sync I/O</t>
  </si>
  <si>
    <t>Ethernet + APG breakout/interface</t>
  </si>
  <si>
    <t>Pneumatic manifold</t>
  </si>
  <si>
    <t>Arduino Due via relays</t>
  </si>
  <si>
    <t>24 V switched</t>
  </si>
  <si>
    <t>24 V main bus</t>
  </si>
  <si>
    <t>Direct control via Due</t>
  </si>
  <si>
    <t>24 V PSU, relays, branch fuses</t>
  </si>
  <si>
    <t>24 V → 12 V regulator for Arduino Due</t>
  </si>
  <si>
    <t>24→12 V DC/DC</t>
  </si>
  <si>
    <t>Have /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</si>
</sst>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5">
    <dxf>
      <font>
        <color rgb="FF666666"/>
      </font>
      <fill>
        <patternFill patternType="solid">
          <bgColor rgb="FFEDEDE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BOM" displayName="MasterBOM" ref="A1:K61" totalsRowShown="0">
  <tableColumns count="11">
    <tableColumn id="1" xr3:uid="{00000000-0010-0000-0000-000001000000}" name="Subsystem"/>
    <tableColumn id="2" xr3:uid="{00000000-0010-0000-0000-000002000000}" name="Category"/>
    <tableColumn id="3" xr3:uid="{00000000-0010-0000-0000-000003000000}" name="Item"/>
    <tableColumn id="4" xr3:uid="{00000000-0010-0000-0000-000004000000}" name="Qty"/>
    <tableColumn id="5" xr3:uid="{00000000-0010-0000-0000-000005000000}" name="Priority"/>
    <tableColumn id="6" xr3:uid="{00000000-0010-0000-0000-000006000000}" name="Status"/>
    <tableColumn id="7" xr3:uid="{00000000-0010-0000-0000-000007000000}" name="Device / Interface"/>
    <tableColumn id="8" xr3:uid="{00000000-0010-0000-0000-000008000000}" name="Purpose"/>
    <tableColumn id="9" xr3:uid="{00000000-0010-0000-0000-000009000000}" name="Example Part"/>
    <tableColumn id="10" xr3:uid="{00000000-0010-0000-0000-00000A000000}" name="Product / Reference URL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40" workbookViewId="0">
      <selection activeCell="C70" sqref="C70"/>
    </sheetView>
  </sheetViews>
  <sheetFormatPr defaultRowHeight="14.25"/>
  <cols>
    <col min="1" max="2" width="18" customWidth="1"/>
    <col min="3" max="3" width="34" customWidth="1"/>
    <col min="4" max="4" width="8" customWidth="1"/>
    <col min="5" max="5" width="13" customWidth="1"/>
    <col min="6" max="6" width="16" customWidth="1"/>
    <col min="7" max="7" width="22" customWidth="1"/>
    <col min="8" max="8" width="42" customWidth="1"/>
    <col min="9" max="9" width="30" customWidth="1"/>
    <col min="10" max="11" width="48" customWidth="1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5">
      <c r="A2" s="3" t="s">
        <v>11</v>
      </c>
      <c r="B2" s="3" t="s">
        <v>12</v>
      </c>
      <c r="C2" s="3" t="s">
        <v>13</v>
      </c>
      <c r="D2" s="3">
        <v>1</v>
      </c>
      <c r="E2" s="3" t="s">
        <v>14</v>
      </c>
      <c r="F2" s="3" t="s">
        <v>111</v>
      </c>
      <c r="G2" s="3" t="s">
        <v>15</v>
      </c>
      <c r="H2" s="3" t="s">
        <v>16</v>
      </c>
      <c r="I2" s="3"/>
      <c r="J2" s="3"/>
      <c r="K2" s="3" t="s">
        <v>17</v>
      </c>
    </row>
    <row r="3" spans="1:11" ht="29.25">
      <c r="A3" s="3" t="s">
        <v>11</v>
      </c>
      <c r="B3" s="3" t="s">
        <v>12</v>
      </c>
      <c r="C3" s="3" t="s">
        <v>18</v>
      </c>
      <c r="D3" s="3">
        <v>2</v>
      </c>
      <c r="E3" s="3" t="s">
        <v>14</v>
      </c>
      <c r="F3" s="3" t="s">
        <v>29</v>
      </c>
      <c r="G3" s="3" t="s">
        <v>15</v>
      </c>
      <c r="H3" s="3" t="s">
        <v>19</v>
      </c>
      <c r="I3" s="3"/>
      <c r="J3" s="3"/>
      <c r="K3" s="3" t="s">
        <v>20</v>
      </c>
    </row>
    <row r="4" spans="1:11" ht="29.25">
      <c r="A4" s="3" t="s">
        <v>11</v>
      </c>
      <c r="B4" s="3" t="s">
        <v>21</v>
      </c>
      <c r="C4" s="3" t="s">
        <v>22</v>
      </c>
      <c r="D4" s="3">
        <v>1</v>
      </c>
      <c r="E4" s="3" t="s">
        <v>14</v>
      </c>
      <c r="F4" s="3" t="s">
        <v>29</v>
      </c>
      <c r="G4" s="3" t="s">
        <v>23</v>
      </c>
      <c r="H4" s="3" t="s">
        <v>24</v>
      </c>
      <c r="I4" s="3" t="s">
        <v>22</v>
      </c>
      <c r="J4" s="3" t="s">
        <v>25</v>
      </c>
      <c r="K4" s="3" t="s">
        <v>26</v>
      </c>
    </row>
    <row r="5" spans="1:11" ht="29.25">
      <c r="A5" s="3" t="s">
        <v>11</v>
      </c>
      <c r="B5" s="3" t="s">
        <v>27</v>
      </c>
      <c r="C5" s="3" t="s">
        <v>28</v>
      </c>
      <c r="D5" s="3">
        <v>1</v>
      </c>
      <c r="E5" s="3" t="s">
        <v>14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</row>
    <row r="6" spans="1:11">
      <c r="A6" s="3" t="s">
        <v>11</v>
      </c>
      <c r="B6" s="3" t="s">
        <v>35</v>
      </c>
      <c r="C6" s="3" t="s">
        <v>36</v>
      </c>
      <c r="D6" s="3">
        <v>1</v>
      </c>
      <c r="E6" s="3" t="s">
        <v>14</v>
      </c>
      <c r="F6" s="3" t="s">
        <v>349</v>
      </c>
      <c r="G6" s="3" t="s">
        <v>22</v>
      </c>
      <c r="H6" s="3" t="s">
        <v>38</v>
      </c>
      <c r="I6" s="3"/>
      <c r="J6" s="3"/>
      <c r="K6" s="3" t="s">
        <v>39</v>
      </c>
    </row>
    <row r="7" spans="1:11" ht="15">
      <c r="A7" s="3" t="s">
        <v>11</v>
      </c>
      <c r="B7" s="3" t="s">
        <v>35</v>
      </c>
      <c r="C7" s="3" t="s">
        <v>40</v>
      </c>
      <c r="D7" s="3">
        <v>1</v>
      </c>
      <c r="E7" s="3" t="s">
        <v>14</v>
      </c>
      <c r="F7" s="3" t="s">
        <v>349</v>
      </c>
      <c r="G7" s="3" t="s">
        <v>41</v>
      </c>
      <c r="H7" s="3" t="s">
        <v>42</v>
      </c>
      <c r="I7" s="3"/>
      <c r="J7" s="3"/>
      <c r="K7" s="3" t="s">
        <v>43</v>
      </c>
    </row>
    <row r="8" spans="1:11" ht="29.25">
      <c r="A8" s="3" t="s">
        <v>44</v>
      </c>
      <c r="B8" s="3" t="s">
        <v>45</v>
      </c>
      <c r="C8" s="3" t="s">
        <v>46</v>
      </c>
      <c r="D8" s="3">
        <v>1</v>
      </c>
      <c r="E8" s="3" t="s">
        <v>14</v>
      </c>
      <c r="F8" s="3" t="s">
        <v>29</v>
      </c>
      <c r="G8" s="3" t="s">
        <v>47</v>
      </c>
      <c r="H8" s="3" t="s">
        <v>48</v>
      </c>
      <c r="I8" s="3" t="s">
        <v>49</v>
      </c>
      <c r="J8" s="3" t="s">
        <v>50</v>
      </c>
      <c r="K8" s="3" t="s">
        <v>51</v>
      </c>
    </row>
    <row r="9" spans="1:11" ht="29.25">
      <c r="A9" s="3" t="s">
        <v>44</v>
      </c>
      <c r="B9" s="3" t="s">
        <v>52</v>
      </c>
      <c r="C9" s="3" t="s">
        <v>347</v>
      </c>
      <c r="D9" s="3">
        <v>1</v>
      </c>
      <c r="E9" s="3" t="s">
        <v>14</v>
      </c>
      <c r="F9" s="3" t="s">
        <v>29</v>
      </c>
      <c r="G9" s="3" t="s">
        <v>22</v>
      </c>
      <c r="H9" s="3" t="s">
        <v>53</v>
      </c>
      <c r="I9" s="3" t="s">
        <v>54</v>
      </c>
      <c r="J9" s="3" t="s">
        <v>55</v>
      </c>
      <c r="K9" s="3" t="s">
        <v>56</v>
      </c>
    </row>
    <row r="10" spans="1:11" ht="29.25">
      <c r="A10" s="3" t="s">
        <v>44</v>
      </c>
      <c r="B10" s="3" t="s">
        <v>52</v>
      </c>
      <c r="C10" s="3" t="s">
        <v>57</v>
      </c>
      <c r="D10" s="3">
        <v>1</v>
      </c>
      <c r="E10" s="3" t="s">
        <v>14</v>
      </c>
      <c r="F10" s="3" t="s">
        <v>29</v>
      </c>
      <c r="G10" s="3" t="s">
        <v>58</v>
      </c>
      <c r="H10" s="3" t="s">
        <v>59</v>
      </c>
      <c r="I10" s="3" t="s">
        <v>60</v>
      </c>
      <c r="J10" s="3" t="s">
        <v>61</v>
      </c>
      <c r="K10" s="3" t="s">
        <v>62</v>
      </c>
    </row>
    <row r="11" spans="1:11" ht="28.5">
      <c r="A11" s="3" t="s">
        <v>44</v>
      </c>
      <c r="B11" s="3" t="s">
        <v>63</v>
      </c>
      <c r="C11" s="3" t="s">
        <v>64</v>
      </c>
      <c r="D11" s="3">
        <v>1</v>
      </c>
      <c r="E11" s="3" t="s">
        <v>14</v>
      </c>
      <c r="F11" s="3" t="s">
        <v>195</v>
      </c>
      <c r="G11" s="3" t="s">
        <v>47</v>
      </c>
      <c r="H11" s="3" t="s">
        <v>65</v>
      </c>
      <c r="I11" s="3"/>
      <c r="J11" s="3"/>
      <c r="K11" s="3" t="s">
        <v>66</v>
      </c>
    </row>
    <row r="12" spans="1:11" ht="28.5">
      <c r="A12" s="3" t="s">
        <v>44</v>
      </c>
      <c r="B12" s="3" t="s">
        <v>67</v>
      </c>
      <c r="C12" s="3" t="s">
        <v>68</v>
      </c>
      <c r="D12" s="3">
        <v>1</v>
      </c>
      <c r="E12" s="3" t="s">
        <v>14</v>
      </c>
      <c r="F12" s="3" t="s">
        <v>195</v>
      </c>
      <c r="G12" s="3" t="s">
        <v>47</v>
      </c>
      <c r="H12" s="3" t="s">
        <v>69</v>
      </c>
      <c r="I12" s="3"/>
      <c r="J12" s="3"/>
      <c r="K12" s="3" t="s">
        <v>70</v>
      </c>
    </row>
    <row r="13" spans="1:11" ht="28.5">
      <c r="A13" s="3" t="s">
        <v>44</v>
      </c>
      <c r="B13" s="3" t="s">
        <v>67</v>
      </c>
      <c r="C13" s="3" t="s">
        <v>71</v>
      </c>
      <c r="D13" s="3">
        <v>1</v>
      </c>
      <c r="E13" s="3" t="s">
        <v>72</v>
      </c>
      <c r="F13" s="3" t="s">
        <v>195</v>
      </c>
      <c r="G13" s="3" t="s">
        <v>47</v>
      </c>
      <c r="H13" s="3" t="s">
        <v>73</v>
      </c>
      <c r="I13" s="3"/>
      <c r="J13" s="3"/>
      <c r="K13" s="3" t="s">
        <v>74</v>
      </c>
    </row>
    <row r="14" spans="1:11" ht="28.5">
      <c r="A14" s="3" t="s">
        <v>44</v>
      </c>
      <c r="B14" s="3" t="s">
        <v>75</v>
      </c>
      <c r="C14" s="3" t="s">
        <v>76</v>
      </c>
      <c r="D14" s="3">
        <v>1</v>
      </c>
      <c r="E14" s="3" t="s">
        <v>72</v>
      </c>
      <c r="F14" s="3" t="s">
        <v>195</v>
      </c>
      <c r="G14" s="3" t="s">
        <v>77</v>
      </c>
      <c r="H14" s="3" t="s">
        <v>78</v>
      </c>
      <c r="I14" s="3"/>
      <c r="J14" s="3"/>
      <c r="K14" s="3" t="s">
        <v>79</v>
      </c>
    </row>
    <row r="15" spans="1:11" ht="28.5">
      <c r="A15" s="3" t="s">
        <v>44</v>
      </c>
      <c r="B15" s="3" t="s">
        <v>80</v>
      </c>
      <c r="C15" s="3" t="s">
        <v>81</v>
      </c>
      <c r="D15" s="3">
        <v>1</v>
      </c>
      <c r="E15" s="3" t="s">
        <v>72</v>
      </c>
      <c r="F15" s="3" t="s">
        <v>195</v>
      </c>
      <c r="G15" s="3" t="s">
        <v>15</v>
      </c>
      <c r="H15" s="3" t="s">
        <v>82</v>
      </c>
      <c r="I15" s="3"/>
      <c r="J15" s="3"/>
      <c r="K15" s="3" t="s">
        <v>83</v>
      </c>
    </row>
    <row r="16" spans="1:11" ht="28.5">
      <c r="A16" s="3" t="s">
        <v>44</v>
      </c>
      <c r="B16" s="3" t="s">
        <v>84</v>
      </c>
      <c r="C16" s="3" t="s">
        <v>85</v>
      </c>
      <c r="D16" s="3">
        <v>1</v>
      </c>
      <c r="E16" s="3" t="s">
        <v>14</v>
      </c>
      <c r="F16" s="3" t="s">
        <v>111</v>
      </c>
      <c r="G16" s="3" t="s">
        <v>86</v>
      </c>
      <c r="H16" s="3" t="s">
        <v>87</v>
      </c>
      <c r="I16" s="3"/>
      <c r="J16" s="3"/>
      <c r="K16" s="3" t="s">
        <v>88</v>
      </c>
    </row>
    <row r="17" spans="1:11" ht="28.5">
      <c r="A17" s="3" t="s">
        <v>89</v>
      </c>
      <c r="B17" s="3" t="s">
        <v>12</v>
      </c>
      <c r="C17" s="3" t="s">
        <v>90</v>
      </c>
      <c r="D17" s="3">
        <v>1</v>
      </c>
      <c r="E17" s="3" t="s">
        <v>14</v>
      </c>
      <c r="F17" s="3" t="s">
        <v>111</v>
      </c>
      <c r="G17" s="3" t="s">
        <v>89</v>
      </c>
      <c r="H17" s="3" t="s">
        <v>91</v>
      </c>
      <c r="I17" s="3"/>
      <c r="J17" s="3"/>
      <c r="K17" s="3" t="s">
        <v>92</v>
      </c>
    </row>
    <row r="18" spans="1:11" ht="28.5">
      <c r="A18" s="3" t="s">
        <v>89</v>
      </c>
      <c r="B18" s="3" t="s">
        <v>12</v>
      </c>
      <c r="C18" s="3" t="s">
        <v>93</v>
      </c>
      <c r="D18" s="3">
        <v>1</v>
      </c>
      <c r="E18" s="3" t="s">
        <v>14</v>
      </c>
      <c r="F18" s="3" t="s">
        <v>111</v>
      </c>
      <c r="G18" s="3" t="s">
        <v>89</v>
      </c>
      <c r="H18" s="3" t="s">
        <v>94</v>
      </c>
      <c r="I18" s="3" t="s">
        <v>95</v>
      </c>
      <c r="J18" s="3"/>
      <c r="K18" s="3" t="s">
        <v>96</v>
      </c>
    </row>
    <row r="19" spans="1:11" ht="28.5">
      <c r="A19" s="3" t="s">
        <v>89</v>
      </c>
      <c r="B19" s="3" t="s">
        <v>97</v>
      </c>
      <c r="C19" s="3" t="s">
        <v>98</v>
      </c>
      <c r="D19" s="3">
        <v>1</v>
      </c>
      <c r="E19" s="3" t="s">
        <v>14</v>
      </c>
      <c r="F19" s="3" t="s">
        <v>111</v>
      </c>
      <c r="G19" s="3" t="s">
        <v>89</v>
      </c>
      <c r="H19" s="3" t="s">
        <v>99</v>
      </c>
      <c r="I19" s="3"/>
      <c r="J19" s="3"/>
      <c r="K19" s="3" t="s">
        <v>100</v>
      </c>
    </row>
    <row r="20" spans="1:11" ht="28.5">
      <c r="A20" s="3" t="s">
        <v>89</v>
      </c>
      <c r="B20" s="3" t="s">
        <v>67</v>
      </c>
      <c r="C20" s="3" t="s">
        <v>101</v>
      </c>
      <c r="D20" s="3">
        <v>1</v>
      </c>
      <c r="E20" s="3" t="s">
        <v>72</v>
      </c>
      <c r="F20" s="3" t="s">
        <v>111</v>
      </c>
      <c r="G20" s="3" t="s">
        <v>89</v>
      </c>
      <c r="H20" s="3" t="s">
        <v>102</v>
      </c>
      <c r="I20" s="3"/>
      <c r="J20" s="3"/>
      <c r="K20" s="3" t="s">
        <v>103</v>
      </c>
    </row>
    <row r="21" spans="1:11" ht="28.5">
      <c r="A21" s="3" t="s">
        <v>89</v>
      </c>
      <c r="B21" s="3" t="s">
        <v>104</v>
      </c>
      <c r="C21" s="3" t="s">
        <v>105</v>
      </c>
      <c r="D21" s="3">
        <v>1</v>
      </c>
      <c r="E21" s="3" t="s">
        <v>14</v>
      </c>
      <c r="F21" s="3" t="s">
        <v>111</v>
      </c>
      <c r="G21" s="3" t="s">
        <v>89</v>
      </c>
      <c r="H21" s="3" t="s">
        <v>106</v>
      </c>
      <c r="I21" s="3"/>
      <c r="J21" s="3"/>
      <c r="K21" s="3" t="s">
        <v>107</v>
      </c>
    </row>
    <row r="22" spans="1:11" ht="42.75">
      <c r="A22" s="3" t="s">
        <v>108</v>
      </c>
      <c r="B22" s="3" t="s">
        <v>109</v>
      </c>
      <c r="C22" s="3" t="s">
        <v>110</v>
      </c>
      <c r="D22" s="3">
        <v>1</v>
      </c>
      <c r="E22" s="3" t="s">
        <v>14</v>
      </c>
      <c r="F22" s="3" t="s">
        <v>111</v>
      </c>
      <c r="G22" s="3" t="s">
        <v>112</v>
      </c>
      <c r="H22" s="3" t="s">
        <v>113</v>
      </c>
      <c r="I22" s="3"/>
      <c r="J22" s="3" t="s">
        <v>114</v>
      </c>
      <c r="K22" s="3" t="s">
        <v>115</v>
      </c>
    </row>
    <row r="23" spans="1:11" ht="15">
      <c r="A23" s="3" t="s">
        <v>108</v>
      </c>
      <c r="B23" s="3" t="s">
        <v>116</v>
      </c>
      <c r="C23" s="3" t="s">
        <v>117</v>
      </c>
      <c r="D23" s="3">
        <v>1</v>
      </c>
      <c r="E23" s="3" t="s">
        <v>14</v>
      </c>
      <c r="F23" s="3" t="s">
        <v>29</v>
      </c>
      <c r="G23" s="3" t="s">
        <v>108</v>
      </c>
      <c r="H23" s="3" t="s">
        <v>118</v>
      </c>
      <c r="I23" s="3" t="s">
        <v>119</v>
      </c>
      <c r="J23" s="3" t="s">
        <v>120</v>
      </c>
      <c r="K23" s="3" t="s">
        <v>121</v>
      </c>
    </row>
    <row r="24" spans="1:11" ht="29.25">
      <c r="A24" s="3" t="s">
        <v>108</v>
      </c>
      <c r="B24" s="3" t="s">
        <v>35</v>
      </c>
      <c r="C24" s="3" t="s">
        <v>122</v>
      </c>
      <c r="D24" s="3">
        <v>1</v>
      </c>
      <c r="E24" s="3" t="s">
        <v>14</v>
      </c>
      <c r="F24" s="3" t="s">
        <v>29</v>
      </c>
      <c r="G24" s="3" t="s">
        <v>108</v>
      </c>
      <c r="H24" s="3" t="s">
        <v>123</v>
      </c>
      <c r="I24" s="3" t="s">
        <v>124</v>
      </c>
      <c r="J24" s="3" t="s">
        <v>125</v>
      </c>
      <c r="K24" s="3" t="s">
        <v>126</v>
      </c>
    </row>
    <row r="25" spans="1:11" ht="28.5">
      <c r="A25" s="3" t="s">
        <v>127</v>
      </c>
      <c r="B25" s="3" t="s">
        <v>109</v>
      </c>
      <c r="C25" s="3" t="s">
        <v>128</v>
      </c>
      <c r="D25" s="3">
        <v>1</v>
      </c>
      <c r="E25" s="3" t="s">
        <v>14</v>
      </c>
      <c r="F25" s="3" t="s">
        <v>111</v>
      </c>
      <c r="G25" s="3" t="s">
        <v>129</v>
      </c>
      <c r="H25" s="3" t="s">
        <v>130</v>
      </c>
      <c r="I25" s="3"/>
      <c r="J25" s="3" t="s">
        <v>131</v>
      </c>
      <c r="K25" s="3" t="s">
        <v>132</v>
      </c>
    </row>
    <row r="26" spans="1:11" ht="15">
      <c r="A26" s="3" t="s">
        <v>127</v>
      </c>
      <c r="B26" s="3" t="s">
        <v>133</v>
      </c>
      <c r="C26" s="3" t="s">
        <v>134</v>
      </c>
      <c r="D26" s="3">
        <v>1</v>
      </c>
      <c r="E26" s="3" t="s">
        <v>14</v>
      </c>
      <c r="F26" s="3" t="s">
        <v>29</v>
      </c>
      <c r="G26" s="3" t="s">
        <v>127</v>
      </c>
      <c r="H26" s="3" t="s">
        <v>135</v>
      </c>
      <c r="I26" s="3" t="s">
        <v>136</v>
      </c>
      <c r="J26" s="3" t="s">
        <v>137</v>
      </c>
      <c r="K26" s="3" t="s">
        <v>138</v>
      </c>
    </row>
    <row r="27" spans="1:11" ht="29.25">
      <c r="A27" s="3" t="s">
        <v>127</v>
      </c>
      <c r="B27" s="3" t="s">
        <v>35</v>
      </c>
      <c r="C27" s="3" t="s">
        <v>139</v>
      </c>
      <c r="D27" s="3">
        <v>1</v>
      </c>
      <c r="E27" s="3" t="s">
        <v>14</v>
      </c>
      <c r="F27" s="3" t="s">
        <v>29</v>
      </c>
      <c r="G27" s="3" t="s">
        <v>127</v>
      </c>
      <c r="H27" s="3" t="s">
        <v>140</v>
      </c>
      <c r="I27" s="3" t="s">
        <v>141</v>
      </c>
      <c r="J27" s="3" t="s">
        <v>142</v>
      </c>
      <c r="K27" s="3" t="s">
        <v>143</v>
      </c>
    </row>
    <row r="28" spans="1:11" ht="15">
      <c r="A28" s="3" t="s">
        <v>127</v>
      </c>
      <c r="B28" s="3" t="s">
        <v>144</v>
      </c>
      <c r="C28" s="3" t="s">
        <v>145</v>
      </c>
      <c r="D28" s="3">
        <v>1</v>
      </c>
      <c r="E28" s="3" t="s">
        <v>14</v>
      </c>
      <c r="F28" s="3" t="s">
        <v>29</v>
      </c>
      <c r="G28" s="3" t="s">
        <v>146</v>
      </c>
      <c r="H28" s="3" t="s">
        <v>147</v>
      </c>
      <c r="I28" s="3"/>
      <c r="J28" s="3"/>
      <c r="K28" s="3" t="s">
        <v>148</v>
      </c>
    </row>
    <row r="29" spans="1:11" ht="15">
      <c r="A29" s="3" t="s">
        <v>127</v>
      </c>
      <c r="B29" s="3" t="s">
        <v>144</v>
      </c>
      <c r="C29" s="3" t="s">
        <v>149</v>
      </c>
      <c r="D29" s="3">
        <v>1</v>
      </c>
      <c r="E29" s="3" t="s">
        <v>14</v>
      </c>
      <c r="F29" s="3" t="s">
        <v>29</v>
      </c>
      <c r="G29" s="3" t="s">
        <v>146</v>
      </c>
      <c r="H29" s="3" t="s">
        <v>150</v>
      </c>
      <c r="I29" s="3"/>
      <c r="J29" s="3"/>
      <c r="K29" s="3" t="s">
        <v>148</v>
      </c>
    </row>
    <row r="30" spans="1:11" ht="15">
      <c r="A30" s="3" t="s">
        <v>127</v>
      </c>
      <c r="B30" s="3" t="s">
        <v>144</v>
      </c>
      <c r="C30" s="3" t="s">
        <v>151</v>
      </c>
      <c r="D30" s="3">
        <v>1</v>
      </c>
      <c r="E30" s="3" t="s">
        <v>14</v>
      </c>
      <c r="F30" s="3" t="s">
        <v>29</v>
      </c>
      <c r="G30" s="3" t="s">
        <v>146</v>
      </c>
      <c r="H30" s="3" t="s">
        <v>152</v>
      </c>
      <c r="I30" s="3"/>
      <c r="J30" s="3"/>
      <c r="K30" s="3" t="s">
        <v>148</v>
      </c>
    </row>
    <row r="31" spans="1:11" ht="28.5">
      <c r="A31" s="3" t="s">
        <v>153</v>
      </c>
      <c r="B31" s="3" t="s">
        <v>109</v>
      </c>
      <c r="C31" s="3" t="s">
        <v>154</v>
      </c>
      <c r="D31" s="3">
        <v>1</v>
      </c>
      <c r="E31" s="3" t="s">
        <v>14</v>
      </c>
      <c r="F31" s="3" t="s">
        <v>111</v>
      </c>
      <c r="G31" s="3" t="s">
        <v>129</v>
      </c>
      <c r="H31" s="3" t="s">
        <v>130</v>
      </c>
      <c r="I31" s="3"/>
      <c r="J31" s="3" t="s">
        <v>155</v>
      </c>
      <c r="K31" s="3" t="s">
        <v>156</v>
      </c>
    </row>
    <row r="32" spans="1:11">
      <c r="A32" s="3" t="s">
        <v>153</v>
      </c>
      <c r="B32" s="3" t="s">
        <v>109</v>
      </c>
      <c r="C32" s="3" t="s">
        <v>157</v>
      </c>
      <c r="D32" s="3">
        <v>1</v>
      </c>
      <c r="E32" s="3" t="s">
        <v>14</v>
      </c>
      <c r="F32" s="3" t="s">
        <v>111</v>
      </c>
      <c r="G32" s="3" t="s">
        <v>153</v>
      </c>
      <c r="H32" s="3" t="s">
        <v>158</v>
      </c>
      <c r="I32" s="3"/>
      <c r="J32" s="3"/>
      <c r="K32" s="3" t="s">
        <v>159</v>
      </c>
    </row>
    <row r="33" spans="1:11" ht="29.25">
      <c r="A33" s="3" t="s">
        <v>153</v>
      </c>
      <c r="B33" s="3" t="s">
        <v>35</v>
      </c>
      <c r="C33" s="3" t="s">
        <v>139</v>
      </c>
      <c r="D33" s="3">
        <v>1</v>
      </c>
      <c r="E33" s="3" t="s">
        <v>14</v>
      </c>
      <c r="F33" s="3" t="s">
        <v>29</v>
      </c>
      <c r="G33" s="3" t="s">
        <v>153</v>
      </c>
      <c r="H33" s="3" t="s">
        <v>160</v>
      </c>
      <c r="I33" s="3" t="s">
        <v>141</v>
      </c>
      <c r="J33" s="3" t="s">
        <v>142</v>
      </c>
      <c r="K33" s="3" t="s">
        <v>161</v>
      </c>
    </row>
    <row r="34" spans="1:11" ht="15">
      <c r="A34" s="3" t="s">
        <v>153</v>
      </c>
      <c r="B34" s="3" t="s">
        <v>144</v>
      </c>
      <c r="C34" s="3" t="s">
        <v>145</v>
      </c>
      <c r="D34" s="3">
        <v>1</v>
      </c>
      <c r="E34" s="3" t="s">
        <v>14</v>
      </c>
      <c r="F34" s="3" t="s">
        <v>29</v>
      </c>
      <c r="G34" s="3" t="s">
        <v>162</v>
      </c>
      <c r="H34" s="3" t="s">
        <v>147</v>
      </c>
      <c r="I34" s="3"/>
      <c r="J34" s="3"/>
      <c r="K34" s="3" t="s">
        <v>163</v>
      </c>
    </row>
    <row r="35" spans="1:11" ht="15">
      <c r="A35" s="3" t="s">
        <v>153</v>
      </c>
      <c r="B35" s="3" t="s">
        <v>144</v>
      </c>
      <c r="C35" s="3" t="s">
        <v>149</v>
      </c>
      <c r="D35" s="3">
        <v>1</v>
      </c>
      <c r="E35" s="3" t="s">
        <v>14</v>
      </c>
      <c r="F35" s="3" t="s">
        <v>29</v>
      </c>
      <c r="G35" s="3" t="s">
        <v>162</v>
      </c>
      <c r="H35" s="3" t="s">
        <v>164</v>
      </c>
      <c r="I35" s="3"/>
      <c r="J35" s="3"/>
      <c r="K35" s="3" t="s">
        <v>163</v>
      </c>
    </row>
    <row r="36" spans="1:11" ht="15">
      <c r="A36" s="3" t="s">
        <v>153</v>
      </c>
      <c r="B36" s="3" t="s">
        <v>144</v>
      </c>
      <c r="C36" s="3" t="s">
        <v>151</v>
      </c>
      <c r="D36" s="3">
        <v>1</v>
      </c>
      <c r="E36" s="3" t="s">
        <v>14</v>
      </c>
      <c r="F36" s="3" t="s">
        <v>29</v>
      </c>
      <c r="G36" s="3" t="s">
        <v>162</v>
      </c>
      <c r="H36" s="3" t="s">
        <v>152</v>
      </c>
      <c r="I36" s="3"/>
      <c r="J36" s="3"/>
      <c r="K36" s="3" t="s">
        <v>163</v>
      </c>
    </row>
    <row r="37" spans="1:11" ht="42.75">
      <c r="A37" s="3" t="s">
        <v>165</v>
      </c>
      <c r="B37" s="3" t="s">
        <v>109</v>
      </c>
      <c r="C37" s="3" t="s">
        <v>166</v>
      </c>
      <c r="D37" s="3">
        <v>1</v>
      </c>
      <c r="E37" s="3" t="s">
        <v>14</v>
      </c>
      <c r="F37" s="3" t="s">
        <v>111</v>
      </c>
      <c r="G37" s="3" t="s">
        <v>167</v>
      </c>
      <c r="H37" s="3" t="s">
        <v>168</v>
      </c>
      <c r="I37" s="3"/>
      <c r="J37" s="3" t="s">
        <v>169</v>
      </c>
      <c r="K37" s="3" t="s">
        <v>170</v>
      </c>
    </row>
    <row r="38" spans="1:11">
      <c r="A38" s="3" t="s">
        <v>165</v>
      </c>
      <c r="B38" s="3" t="s">
        <v>171</v>
      </c>
      <c r="C38" s="3" t="s">
        <v>172</v>
      </c>
      <c r="D38" s="3">
        <v>1</v>
      </c>
      <c r="E38" s="3" t="s">
        <v>14</v>
      </c>
      <c r="F38" s="3" t="s">
        <v>349</v>
      </c>
      <c r="G38" s="3" t="s">
        <v>165</v>
      </c>
      <c r="H38" s="3" t="s">
        <v>173</v>
      </c>
      <c r="I38" s="3"/>
      <c r="J38" s="3"/>
      <c r="K38" s="3" t="s">
        <v>174</v>
      </c>
    </row>
    <row r="39" spans="1:11" ht="28.5">
      <c r="A39" s="3" t="s">
        <v>175</v>
      </c>
      <c r="B39" s="3" t="s">
        <v>109</v>
      </c>
      <c r="C39" s="3" t="s">
        <v>176</v>
      </c>
      <c r="D39" s="3">
        <v>1</v>
      </c>
      <c r="E39" s="3" t="s">
        <v>14</v>
      </c>
      <c r="F39" s="3" t="s">
        <v>111</v>
      </c>
      <c r="G39" s="3" t="s">
        <v>177</v>
      </c>
      <c r="H39" s="3" t="s">
        <v>178</v>
      </c>
      <c r="I39" s="3"/>
      <c r="J39" s="3" t="s">
        <v>179</v>
      </c>
      <c r="K39" s="3" t="s">
        <v>180</v>
      </c>
    </row>
    <row r="40" spans="1:11" ht="15">
      <c r="A40" s="3" t="s">
        <v>175</v>
      </c>
      <c r="B40" s="3" t="s">
        <v>171</v>
      </c>
      <c r="C40" s="3" t="s">
        <v>172</v>
      </c>
      <c r="D40" s="3">
        <v>1</v>
      </c>
      <c r="E40" s="3" t="s">
        <v>14</v>
      </c>
      <c r="F40" s="3" t="s">
        <v>349</v>
      </c>
      <c r="G40" s="3" t="s">
        <v>181</v>
      </c>
      <c r="H40" s="3" t="s">
        <v>182</v>
      </c>
      <c r="I40" s="3"/>
      <c r="J40" s="3"/>
      <c r="K40" s="3" t="s">
        <v>183</v>
      </c>
    </row>
    <row r="41" spans="1:11" ht="29.25">
      <c r="A41" s="3" t="s">
        <v>175</v>
      </c>
      <c r="B41" s="3" t="s">
        <v>184</v>
      </c>
      <c r="C41" s="3" t="s">
        <v>185</v>
      </c>
      <c r="D41" s="3">
        <v>1</v>
      </c>
      <c r="E41" s="3" t="s">
        <v>14</v>
      </c>
      <c r="F41" s="3" t="s">
        <v>349</v>
      </c>
      <c r="G41" s="3" t="s">
        <v>186</v>
      </c>
      <c r="H41" s="3" t="s">
        <v>187</v>
      </c>
      <c r="I41" s="3"/>
      <c r="J41" s="3"/>
      <c r="K41" s="3" t="s">
        <v>188</v>
      </c>
    </row>
    <row r="42" spans="1:11" ht="28.5">
      <c r="A42" s="3" t="s">
        <v>175</v>
      </c>
      <c r="B42" s="3" t="s">
        <v>184</v>
      </c>
      <c r="C42" s="3" t="s">
        <v>189</v>
      </c>
      <c r="D42" s="3">
        <v>1</v>
      </c>
      <c r="E42" s="3" t="s">
        <v>72</v>
      </c>
      <c r="F42" s="3" t="s">
        <v>190</v>
      </c>
      <c r="G42" s="3" t="s">
        <v>186</v>
      </c>
      <c r="H42" s="3" t="s">
        <v>191</v>
      </c>
      <c r="I42" s="3"/>
      <c r="J42" s="3"/>
      <c r="K42" s="3" t="s">
        <v>192</v>
      </c>
    </row>
    <row r="43" spans="1:11" ht="28.5">
      <c r="A43" s="3" t="s">
        <v>175</v>
      </c>
      <c r="B43" s="3" t="s">
        <v>193</v>
      </c>
      <c r="C43" s="3" t="s">
        <v>194</v>
      </c>
      <c r="D43" s="3">
        <v>1</v>
      </c>
      <c r="E43" s="3" t="s">
        <v>195</v>
      </c>
      <c r="F43" s="3" t="s">
        <v>195</v>
      </c>
      <c r="G43" s="3" t="s">
        <v>196</v>
      </c>
      <c r="H43" s="3" t="s">
        <v>197</v>
      </c>
      <c r="I43" s="3" t="s">
        <v>141</v>
      </c>
      <c r="J43" s="3" t="s">
        <v>142</v>
      </c>
      <c r="K43" s="3" t="s">
        <v>198</v>
      </c>
    </row>
    <row r="44" spans="1:11" ht="28.5">
      <c r="A44" s="3" t="s">
        <v>171</v>
      </c>
      <c r="B44" s="3" t="s">
        <v>199</v>
      </c>
      <c r="C44" s="3" t="s">
        <v>200</v>
      </c>
      <c r="D44" s="3">
        <v>1</v>
      </c>
      <c r="E44" s="3" t="s">
        <v>201</v>
      </c>
      <c r="F44" s="3" t="s">
        <v>37</v>
      </c>
      <c r="G44" s="3" t="s">
        <v>202</v>
      </c>
      <c r="H44" s="3" t="s">
        <v>203</v>
      </c>
      <c r="I44" s="3"/>
      <c r="J44" s="3"/>
      <c r="K44" s="3" t="s">
        <v>204</v>
      </c>
    </row>
    <row r="45" spans="1:11" ht="28.5">
      <c r="A45" s="3" t="s">
        <v>171</v>
      </c>
      <c r="B45" s="3" t="s">
        <v>199</v>
      </c>
      <c r="C45" s="3" t="s">
        <v>205</v>
      </c>
      <c r="D45" s="3">
        <v>1</v>
      </c>
      <c r="E45" s="3" t="s">
        <v>201</v>
      </c>
      <c r="F45" s="3" t="s">
        <v>37</v>
      </c>
      <c r="G45" s="3" t="s">
        <v>171</v>
      </c>
      <c r="H45" s="3" t="s">
        <v>206</v>
      </c>
      <c r="I45" s="3"/>
      <c r="J45" s="3"/>
      <c r="K45" s="3" t="s">
        <v>207</v>
      </c>
    </row>
    <row r="46" spans="1:11" ht="29.25">
      <c r="A46" s="3" t="s">
        <v>208</v>
      </c>
      <c r="B46" s="3" t="s">
        <v>209</v>
      </c>
      <c r="C46" s="3" t="s">
        <v>210</v>
      </c>
      <c r="D46" s="3">
        <v>1</v>
      </c>
      <c r="E46" s="3" t="s">
        <v>14</v>
      </c>
      <c r="F46" s="3" t="s">
        <v>29</v>
      </c>
      <c r="G46" s="3" t="s">
        <v>211</v>
      </c>
      <c r="H46" s="3" t="s">
        <v>212</v>
      </c>
      <c r="I46" s="3"/>
      <c r="J46" s="3"/>
      <c r="K46" s="3" t="s">
        <v>213</v>
      </c>
    </row>
    <row r="47" spans="1:11" ht="15">
      <c r="A47" s="3" t="s">
        <v>208</v>
      </c>
      <c r="B47" s="3" t="s">
        <v>209</v>
      </c>
      <c r="C47" s="3" t="s">
        <v>214</v>
      </c>
      <c r="D47" s="3">
        <v>1</v>
      </c>
      <c r="E47" s="3" t="s">
        <v>14</v>
      </c>
      <c r="F47" s="3" t="s">
        <v>29</v>
      </c>
      <c r="G47" s="3" t="s">
        <v>211</v>
      </c>
      <c r="H47" s="3" t="s">
        <v>215</v>
      </c>
      <c r="I47" s="3"/>
      <c r="J47" s="3"/>
      <c r="K47" s="3" t="s">
        <v>216</v>
      </c>
    </row>
    <row r="48" spans="1:11" ht="15">
      <c r="A48" s="3" t="s">
        <v>208</v>
      </c>
      <c r="B48" s="3" t="s">
        <v>209</v>
      </c>
      <c r="C48" s="3" t="s">
        <v>217</v>
      </c>
      <c r="D48" s="3">
        <v>1</v>
      </c>
      <c r="E48" s="3" t="s">
        <v>14</v>
      </c>
      <c r="F48" s="3" t="s">
        <v>29</v>
      </c>
      <c r="G48" s="3" t="s">
        <v>211</v>
      </c>
      <c r="H48" s="3" t="s">
        <v>218</v>
      </c>
      <c r="I48" s="3"/>
      <c r="J48" s="3"/>
      <c r="K48" s="3" t="s">
        <v>219</v>
      </c>
    </row>
    <row r="49" spans="1:11" ht="29.25">
      <c r="A49" s="3" t="s">
        <v>208</v>
      </c>
      <c r="B49" s="3" t="s">
        <v>220</v>
      </c>
      <c r="C49" s="3" t="s">
        <v>221</v>
      </c>
      <c r="D49" s="3">
        <v>1</v>
      </c>
      <c r="E49" s="3" t="s">
        <v>14</v>
      </c>
      <c r="F49" s="3" t="s">
        <v>29</v>
      </c>
      <c r="G49" s="3" t="s">
        <v>222</v>
      </c>
      <c r="H49" s="3" t="s">
        <v>223</v>
      </c>
      <c r="I49" s="3"/>
      <c r="J49" s="3"/>
      <c r="K49" s="3" t="s">
        <v>224</v>
      </c>
    </row>
    <row r="50" spans="1:11" ht="29.25">
      <c r="A50" s="3" t="s">
        <v>208</v>
      </c>
      <c r="B50" s="3" t="s">
        <v>225</v>
      </c>
      <c r="C50" s="3" t="s">
        <v>226</v>
      </c>
      <c r="D50" s="3">
        <v>1</v>
      </c>
      <c r="E50" s="3" t="s">
        <v>14</v>
      </c>
      <c r="F50" s="3" t="s">
        <v>29</v>
      </c>
      <c r="G50" s="3" t="s">
        <v>227</v>
      </c>
      <c r="H50" s="3" t="s">
        <v>228</v>
      </c>
      <c r="I50" s="3"/>
      <c r="J50" s="3"/>
      <c r="K50" s="3" t="s">
        <v>229</v>
      </c>
    </row>
    <row r="51" spans="1:11" ht="29.25">
      <c r="A51" s="3" t="s">
        <v>208</v>
      </c>
      <c r="B51" s="3" t="s">
        <v>230</v>
      </c>
      <c r="C51" s="3" t="s">
        <v>231</v>
      </c>
      <c r="D51" s="3">
        <v>1</v>
      </c>
      <c r="E51" s="3" t="s">
        <v>14</v>
      </c>
      <c r="F51" s="3" t="s">
        <v>29</v>
      </c>
      <c r="G51" s="3" t="s">
        <v>232</v>
      </c>
      <c r="H51" s="3" t="s">
        <v>233</v>
      </c>
      <c r="I51" s="3"/>
      <c r="J51" s="3"/>
      <c r="K51" s="3" t="s">
        <v>234</v>
      </c>
    </row>
    <row r="52" spans="1:11" ht="29.25">
      <c r="A52" s="3" t="s">
        <v>208</v>
      </c>
      <c r="B52" s="3" t="s">
        <v>235</v>
      </c>
      <c r="C52" s="3" t="s">
        <v>236</v>
      </c>
      <c r="D52" s="3">
        <v>1</v>
      </c>
      <c r="E52" s="3" t="s">
        <v>72</v>
      </c>
      <c r="F52" s="3" t="s">
        <v>29</v>
      </c>
      <c r="G52" s="3" t="s">
        <v>237</v>
      </c>
      <c r="H52" s="3" t="s">
        <v>238</v>
      </c>
      <c r="I52" s="3"/>
      <c r="J52" s="3"/>
      <c r="K52" s="3" t="s">
        <v>239</v>
      </c>
    </row>
    <row r="53" spans="1:11" ht="28.5">
      <c r="A53" s="3" t="s">
        <v>240</v>
      </c>
      <c r="B53" s="3" t="s">
        <v>241</v>
      </c>
      <c r="C53" s="3" t="s">
        <v>242</v>
      </c>
      <c r="D53" s="3">
        <v>10</v>
      </c>
      <c r="E53" s="3" t="s">
        <v>14</v>
      </c>
      <c r="F53" s="3" t="s">
        <v>195</v>
      </c>
      <c r="G53" s="3" t="s">
        <v>243</v>
      </c>
      <c r="H53" s="3" t="s">
        <v>244</v>
      </c>
      <c r="I53" s="3" t="s">
        <v>245</v>
      </c>
      <c r="J53" s="3" t="s">
        <v>246</v>
      </c>
      <c r="K53" s="3" t="s">
        <v>247</v>
      </c>
    </row>
    <row r="54" spans="1:11" ht="28.5">
      <c r="A54" s="3" t="s">
        <v>240</v>
      </c>
      <c r="B54" s="3" t="s">
        <v>248</v>
      </c>
      <c r="C54" s="3" t="s">
        <v>249</v>
      </c>
      <c r="D54" s="3">
        <v>1</v>
      </c>
      <c r="E54" s="3" t="s">
        <v>72</v>
      </c>
      <c r="F54" s="3" t="s">
        <v>195</v>
      </c>
      <c r="G54" s="3" t="s">
        <v>250</v>
      </c>
      <c r="H54" s="3" t="s">
        <v>251</v>
      </c>
      <c r="I54" s="3" t="s">
        <v>252</v>
      </c>
      <c r="J54" s="3" t="s">
        <v>253</v>
      </c>
      <c r="K54" s="3" t="s">
        <v>254</v>
      </c>
    </row>
    <row r="55" spans="1:11" ht="28.5">
      <c r="A55" s="3" t="s">
        <v>240</v>
      </c>
      <c r="B55" s="3" t="s">
        <v>255</v>
      </c>
      <c r="C55" s="3" t="s">
        <v>256</v>
      </c>
      <c r="D55" s="3">
        <v>1</v>
      </c>
      <c r="E55" s="3" t="s">
        <v>72</v>
      </c>
      <c r="F55" s="3" t="s">
        <v>195</v>
      </c>
      <c r="G55" s="3" t="s">
        <v>211</v>
      </c>
      <c r="H55" s="3" t="s">
        <v>257</v>
      </c>
      <c r="I55" s="3"/>
      <c r="J55" s="3"/>
      <c r="K55" s="3" t="s">
        <v>258</v>
      </c>
    </row>
    <row r="56" spans="1:11">
      <c r="A56" s="3" t="s">
        <v>240</v>
      </c>
      <c r="B56" s="3" t="s">
        <v>259</v>
      </c>
      <c r="C56" s="3" t="s">
        <v>260</v>
      </c>
      <c r="D56" s="3">
        <v>1</v>
      </c>
      <c r="E56" s="3" t="s">
        <v>14</v>
      </c>
      <c r="F56" s="3" t="s">
        <v>111</v>
      </c>
      <c r="G56" s="3" t="s">
        <v>243</v>
      </c>
      <c r="H56" s="3" t="s">
        <v>261</v>
      </c>
      <c r="I56" s="3"/>
      <c r="J56" s="3"/>
      <c r="K56" s="3" t="s">
        <v>262</v>
      </c>
    </row>
    <row r="57" spans="1:11" ht="28.5">
      <c r="A57" s="3" t="s">
        <v>240</v>
      </c>
      <c r="B57" s="3" t="s">
        <v>263</v>
      </c>
      <c r="C57" s="3" t="s">
        <v>264</v>
      </c>
      <c r="D57" s="3">
        <v>1</v>
      </c>
      <c r="E57" s="3" t="s">
        <v>72</v>
      </c>
      <c r="F57" s="3" t="s">
        <v>195</v>
      </c>
      <c r="G57" s="3" t="s">
        <v>265</v>
      </c>
      <c r="H57" s="3" t="s">
        <v>266</v>
      </c>
      <c r="I57" s="3"/>
      <c r="J57" s="3"/>
      <c r="K57" s="3" t="s">
        <v>267</v>
      </c>
    </row>
    <row r="58" spans="1:11" ht="28.5">
      <c r="A58" s="3" t="s">
        <v>240</v>
      </c>
      <c r="B58" s="3" t="s">
        <v>268</v>
      </c>
      <c r="C58" s="3" t="s">
        <v>269</v>
      </c>
      <c r="D58" s="3">
        <v>1</v>
      </c>
      <c r="E58" s="3" t="s">
        <v>72</v>
      </c>
      <c r="F58" s="3" t="s">
        <v>195</v>
      </c>
      <c r="G58" s="3" t="s">
        <v>270</v>
      </c>
      <c r="H58" s="3" t="s">
        <v>271</v>
      </c>
      <c r="I58" s="3"/>
      <c r="J58" s="3"/>
      <c r="K58" s="3" t="s">
        <v>272</v>
      </c>
    </row>
    <row r="59" spans="1:11" ht="28.5">
      <c r="A59" s="3" t="s">
        <v>240</v>
      </c>
      <c r="B59" s="3" t="s">
        <v>273</v>
      </c>
      <c r="C59" s="3" t="s">
        <v>274</v>
      </c>
      <c r="D59" s="3">
        <v>1</v>
      </c>
      <c r="E59" s="3" t="s">
        <v>72</v>
      </c>
      <c r="F59" s="3" t="s">
        <v>111</v>
      </c>
      <c r="G59" s="3" t="s">
        <v>275</v>
      </c>
      <c r="H59" s="3" t="s">
        <v>276</v>
      </c>
      <c r="I59" s="3"/>
      <c r="J59" s="3"/>
      <c r="K59" s="3" t="s">
        <v>277</v>
      </c>
    </row>
    <row r="60" spans="1:11" ht="28.5">
      <c r="A60" s="3" t="s">
        <v>278</v>
      </c>
      <c r="B60" s="3" t="s">
        <v>279</v>
      </c>
      <c r="C60" s="3" t="s">
        <v>280</v>
      </c>
      <c r="D60" s="3">
        <v>1</v>
      </c>
      <c r="E60" s="3" t="s">
        <v>195</v>
      </c>
      <c r="F60" s="3" t="s">
        <v>195</v>
      </c>
      <c r="G60" s="3" t="s">
        <v>281</v>
      </c>
      <c r="H60" s="3" t="s">
        <v>282</v>
      </c>
      <c r="I60" s="3" t="s">
        <v>283</v>
      </c>
      <c r="J60" s="3" t="s">
        <v>284</v>
      </c>
      <c r="K60" s="3" t="s">
        <v>285</v>
      </c>
    </row>
    <row r="61" spans="1:11">
      <c r="A61" s="3" t="s">
        <v>278</v>
      </c>
      <c r="B61" s="3" t="s">
        <v>286</v>
      </c>
      <c r="C61" s="3" t="s">
        <v>287</v>
      </c>
      <c r="D61" s="3">
        <v>1</v>
      </c>
      <c r="E61" s="3" t="s">
        <v>195</v>
      </c>
      <c r="F61" s="3" t="s">
        <v>195</v>
      </c>
      <c r="G61" s="3" t="s">
        <v>288</v>
      </c>
      <c r="H61" s="3" t="s">
        <v>289</v>
      </c>
      <c r="I61" s="3"/>
      <c r="J61" s="3"/>
      <c r="K61" s="3" t="s">
        <v>290</v>
      </c>
    </row>
  </sheetData>
  <conditionalFormatting sqref="F2:F61">
    <cfRule type="expression" dxfId="4" priority="1">
      <formula>F2="Need to Buy"</formula>
    </cfRule>
    <cfRule type="expression" dxfId="3" priority="2">
      <formula>F2="Have"</formula>
    </cfRule>
    <cfRule type="expression" dxfId="2" priority="3">
      <formula>F2="Have / Verify"</formula>
    </cfRule>
    <cfRule type="expression" dxfId="1" priority="4">
      <formula>F2="TBD"</formula>
    </cfRule>
    <cfRule type="expression" dxfId="0" priority="5">
      <formula>F2="Optional"</formula>
    </cfRule>
  </conditionalFormatting>
  <dataValidations count="2">
    <dataValidation type="list" sqref="F2:F61" xr:uid="{00000000-0002-0000-0000-000000000000}">
      <formula1>"Have,Have / Verify,Need to Buy,Verify,TBD,Optional,N/A"</formula1>
    </dataValidation>
    <dataValidation type="list" sqref="E2:E61" xr:uid="{00000000-0002-0000-0000-000001000000}">
      <formula1>"Required,Recommended,Conditional,Optional"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sqref="A1:F1"/>
    </sheetView>
  </sheetViews>
  <sheetFormatPr defaultRowHeight="14.25"/>
  <cols>
    <col min="1" max="1" width="24" customWidth="1"/>
    <col min="2" max="2" width="20" customWidth="1"/>
    <col min="3" max="3" width="52" customWidth="1"/>
    <col min="4" max="4" width="18" customWidth="1"/>
    <col min="5" max="6" width="16" customWidth="1"/>
  </cols>
  <sheetData>
    <row r="1" spans="1:6" ht="20.25">
      <c r="A1" s="6" t="s">
        <v>291</v>
      </c>
      <c r="B1" s="6"/>
      <c r="C1" s="6"/>
      <c r="D1" s="6"/>
      <c r="E1" s="6"/>
      <c r="F1" s="6"/>
    </row>
    <row r="2" spans="1:6">
      <c r="A2" s="3"/>
      <c r="B2" s="3"/>
      <c r="C2" s="3"/>
      <c r="D2" s="3"/>
      <c r="E2" s="3"/>
      <c r="F2" s="3"/>
    </row>
    <row r="3" spans="1:6" ht="15">
      <c r="A3" s="4" t="s">
        <v>292</v>
      </c>
      <c r="B3" s="4" t="s">
        <v>293</v>
      </c>
      <c r="C3" s="3"/>
      <c r="D3" s="3"/>
      <c r="E3" s="3"/>
      <c r="F3" s="3"/>
    </row>
    <row r="4" spans="1:6">
      <c r="A4" s="3" t="s">
        <v>294</v>
      </c>
      <c r="B4" s="3">
        <f>COUNTA('Master Checklist'!C2:C61)</f>
        <v>60</v>
      </c>
      <c r="C4" s="3"/>
      <c r="D4" s="3"/>
      <c r="E4" s="3"/>
      <c r="F4" s="3"/>
    </row>
    <row r="5" spans="1:6">
      <c r="A5" s="3" t="s">
        <v>29</v>
      </c>
      <c r="B5" s="3">
        <f>COUNTIF('Master Checklist'!F2:F61,"Need to Buy")</f>
        <v>24</v>
      </c>
      <c r="C5" s="3"/>
      <c r="D5" s="3"/>
      <c r="E5" s="3"/>
      <c r="F5" s="3"/>
    </row>
    <row r="6" spans="1:6">
      <c r="A6" s="3" t="s">
        <v>295</v>
      </c>
      <c r="B6" s="3">
        <f>COUNTIF('Master Checklist'!F2:F61,"Verify")+COUNTIF('Master Checklist'!F2:F61,"Have / Verify")</f>
        <v>7</v>
      </c>
      <c r="C6" s="3"/>
      <c r="D6" s="3"/>
      <c r="E6" s="3"/>
      <c r="F6" s="3"/>
    </row>
    <row r="7" spans="1:6">
      <c r="A7" s="3" t="s">
        <v>190</v>
      </c>
      <c r="B7" s="3">
        <f>COUNTIF('Master Checklist'!F2:F61,"TBD")</f>
        <v>1</v>
      </c>
      <c r="C7" s="3"/>
      <c r="D7" s="3"/>
      <c r="E7" s="3"/>
      <c r="F7" s="3"/>
    </row>
    <row r="8" spans="1:6">
      <c r="A8" s="3" t="s">
        <v>195</v>
      </c>
      <c r="B8" s="3">
        <f>COUNTIF('Master Checklist'!F2:F61,"Optional")</f>
        <v>13</v>
      </c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 ht="30">
      <c r="A10" s="5" t="s">
        <v>296</v>
      </c>
      <c r="B10" s="5"/>
      <c r="C10" s="5"/>
      <c r="D10" s="3"/>
      <c r="E10" s="3"/>
      <c r="F10" s="3"/>
    </row>
    <row r="11" spans="1:6" ht="28.5">
      <c r="A11" s="3" t="s">
        <v>297</v>
      </c>
      <c r="B11" s="3" t="s">
        <v>298</v>
      </c>
      <c r="C11" s="3" t="s">
        <v>299</v>
      </c>
      <c r="D11" s="3"/>
      <c r="E11" s="3"/>
      <c r="F11" s="3"/>
    </row>
    <row r="12" spans="1:6">
      <c r="A12" s="3" t="s">
        <v>300</v>
      </c>
      <c r="B12" s="3" t="s">
        <v>301</v>
      </c>
      <c r="C12" s="3" t="s">
        <v>302</v>
      </c>
      <c r="D12" s="3"/>
      <c r="E12" s="3"/>
      <c r="F12" s="3"/>
    </row>
    <row r="13" spans="1:6" ht="28.5">
      <c r="A13" s="3" t="s">
        <v>303</v>
      </c>
      <c r="B13" s="3" t="s">
        <v>304</v>
      </c>
      <c r="C13" s="3" t="s">
        <v>305</v>
      </c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D13" sqref="D13"/>
    </sheetView>
  </sheetViews>
  <sheetFormatPr defaultRowHeight="14.25"/>
  <cols>
    <col min="1" max="1" width="24" customWidth="1"/>
    <col min="2" max="2" width="25" customWidth="1"/>
    <col min="3" max="3" width="22" customWidth="1"/>
    <col min="4" max="4" width="20" customWidth="1"/>
    <col min="5" max="5" width="30" customWidth="1"/>
    <col min="6" max="6" width="40" customWidth="1"/>
  </cols>
  <sheetData>
    <row r="1" spans="1:6" ht="15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</row>
    <row r="2" spans="1:6">
      <c r="A2" s="3" t="s">
        <v>22</v>
      </c>
      <c r="B2" s="3" t="s">
        <v>312</v>
      </c>
      <c r="C2" s="3" t="s">
        <v>313</v>
      </c>
      <c r="D2" s="3" t="s">
        <v>348</v>
      </c>
      <c r="E2" s="3" t="s">
        <v>314</v>
      </c>
      <c r="F2" s="3" t="s">
        <v>315</v>
      </c>
    </row>
    <row r="3" spans="1:6">
      <c r="A3" s="3" t="s">
        <v>316</v>
      </c>
      <c r="B3" s="3" t="s">
        <v>317</v>
      </c>
      <c r="C3" s="3" t="s">
        <v>318</v>
      </c>
      <c r="D3" s="3" t="s">
        <v>319</v>
      </c>
      <c r="E3" s="3" t="s">
        <v>314</v>
      </c>
      <c r="F3" s="3" t="s">
        <v>320</v>
      </c>
    </row>
    <row r="4" spans="1:6">
      <c r="A4" s="3" t="s">
        <v>321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</row>
    <row r="5" spans="1:6">
      <c r="A5" s="3" t="s">
        <v>127</v>
      </c>
      <c r="B5" s="3" t="s">
        <v>327</v>
      </c>
      <c r="C5" s="3" t="s">
        <v>328</v>
      </c>
      <c r="D5" s="3" t="s">
        <v>324</v>
      </c>
      <c r="E5" s="3" t="s">
        <v>329</v>
      </c>
      <c r="F5" s="3" t="s">
        <v>330</v>
      </c>
    </row>
    <row r="6" spans="1:6">
      <c r="A6" s="3" t="s">
        <v>153</v>
      </c>
      <c r="B6" s="3" t="s">
        <v>331</v>
      </c>
      <c r="C6" s="3" t="s">
        <v>332</v>
      </c>
      <c r="D6" s="3" t="s">
        <v>324</v>
      </c>
      <c r="E6" s="3" t="s">
        <v>329</v>
      </c>
      <c r="F6" s="3" t="s">
        <v>333</v>
      </c>
    </row>
    <row r="7" spans="1:6">
      <c r="A7" s="3" t="s">
        <v>334</v>
      </c>
      <c r="B7" s="3" t="s">
        <v>335</v>
      </c>
      <c r="C7" s="3" t="s">
        <v>167</v>
      </c>
      <c r="D7" s="3" t="s">
        <v>324</v>
      </c>
      <c r="E7" s="3" t="s">
        <v>336</v>
      </c>
      <c r="F7" s="3" t="s">
        <v>337</v>
      </c>
    </row>
    <row r="8" spans="1:6">
      <c r="A8" s="3" t="s">
        <v>175</v>
      </c>
      <c r="B8" s="3" t="s">
        <v>338</v>
      </c>
      <c r="C8" s="3" t="s">
        <v>177</v>
      </c>
      <c r="D8" s="3" t="s">
        <v>324</v>
      </c>
      <c r="E8" s="3" t="s">
        <v>339</v>
      </c>
      <c r="F8" s="3" t="s">
        <v>340</v>
      </c>
    </row>
    <row r="9" spans="1:6">
      <c r="A9" s="3" t="s">
        <v>341</v>
      </c>
      <c r="B9" s="3" t="s">
        <v>342</v>
      </c>
      <c r="C9" s="3" t="s">
        <v>343</v>
      </c>
      <c r="D9" s="3" t="s">
        <v>344</v>
      </c>
      <c r="E9" s="3" t="s">
        <v>345</v>
      </c>
      <c r="F9" s="3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Checklist</vt:lpstr>
      <vt:lpstr>Summary</vt:lpstr>
      <vt:lpstr>Interface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</dc:creator>
  <cp:lastModifiedBy>Shaevitz, Aiden Alexander</cp:lastModifiedBy>
  <dcterms:created xsi:type="dcterms:W3CDTF">2026-09-18T18:25:06Z</dcterms:created>
  <dcterms:modified xsi:type="dcterms:W3CDTF">2026-09-18T20:08:17Z</dcterms:modified>
</cp:coreProperties>
</file>