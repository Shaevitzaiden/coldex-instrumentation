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d2d24a619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e7e3a1ee5347f5"/>
    <x:sheet xmlns:r="http://schemas.openxmlformats.org/officeDocument/2006/relationships" name="Analog DAQ Core" sheetId="2" r:id="R42de4786eb844563"/>
    <x:sheet xmlns:r="http://schemas.openxmlformats.org/officeDocument/2006/relationships" name="GP475 Analog" sheetId="3" r:id="R567048befbc94cc4"/>
    <x:sheet xmlns:r="http://schemas.openxmlformats.org/officeDocument/2006/relationships" name="PDR-D-1 Analog" sheetId="4" r:id="Rb4aab6431a65413b"/>
    <x:sheet xmlns:r="http://schemas.openxmlformats.org/officeDocument/2006/relationships" name="GRAPHIX RS232" sheetId="5" r:id="R4f71a6daaa654d53"/>
    <x:sheet xmlns:r="http://schemas.openxmlformats.org/officeDocument/2006/relationships" name="Optional Upgrades" sheetId="6" r:id="R8764a14a3f61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0" fillId="0" borderId="0" xfId="0" applyNumberFormat="1" applyFont="1" applyFill="1" applyBorder="1"/>
    <x:xf numFmtId="200" fontId="4" fillId="6" borderId="0" xfId="0" applyNumberFormat="1" applyFont="1" applyFill="1" applyBorder="1"/>
    <x:xf numFmtId="200" fontId="0" fillId="0" borderId="1" xfId="0" applyNumberFormat="1" applyFont="1" applyFill="1" applyBorder="1"/>
    <x:xf numFmtId="200" fontId="4" fillId="6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79542e5f144af" /><Relationship Type="http://schemas.openxmlformats.org/officeDocument/2006/relationships/theme" Target="/xl/theme/theme1.xml" Id="Ra855d5aca9d241b0" /><Relationship Type="http://schemas.openxmlformats.org/officeDocument/2006/relationships/sharedStrings" Target="/xl/sharedStrings.xml" Id="R2c9cffff34674a94" /><Relationship Type="http://schemas.openxmlformats.org/officeDocument/2006/relationships/worksheet" Target="/xl/worksheets/sheet1.xml" Id="R14e7e3a1ee5347f5" /><Relationship Type="http://schemas.openxmlformats.org/officeDocument/2006/relationships/worksheet" Target="/xl/worksheets/sheet2.xml" Id="R42de4786eb844563" /><Relationship Type="http://schemas.openxmlformats.org/officeDocument/2006/relationships/worksheet" Target="/xl/worksheets/sheet3.xml" Id="R567048befbc94cc4" /><Relationship Type="http://schemas.openxmlformats.org/officeDocument/2006/relationships/worksheet" Target="/xl/worksheets/sheet4.xml" Id="Rb4aab6431a65413b" /><Relationship Type="http://schemas.openxmlformats.org/officeDocument/2006/relationships/worksheet" Target="/xl/worksheets/sheet5.xml" Id="R4f71a6daaa654d53" /><Relationship Type="http://schemas.openxmlformats.org/officeDocument/2006/relationships/worksheet" Target="/xl/worksheets/sheet6.xml" Id="R8764a14a3f6149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1" hidden="0" customWidth="1"/>
    <x:col min="4" max="4" width="5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4" t="str">
        <x:v>Vacuum Instrumentation BOM — Native-ADC Baseline</x:v>
      </x:c>
      <x:c r="B1" s="4"/>
      <x:c r="C1" s="4"/>
      <x:c r="D1" s="4"/>
      <x:c r="E1" s="4"/>
      <x:c r="F1" s="4"/>
      <x:c r="G1" s="4"/>
      <x:c r="H1" s="4"/>
    </x:row>
    <x:row r="3" ht="34" customHeight="1">
      <x:c r="A3" s="10" t="str">
        <x:v>Baseline design: the Feather RP2040 Adalogger directly samples the GP475 and PDR-D-1 on its onboard ADCs. The ADS1115 is optional, not required.</x:v>
      </x:c>
      <x:c r="B3" s="10"/>
      <x:c r="C3" s="10"/>
      <x:c r="D3" s="10"/>
      <x:c r="E3" s="10"/>
      <x:c r="F3" s="10"/>
      <x:c r="G3" s="10"/>
      <x:c r="H3" s="10"/>
    </x:row>
    <x:row r="5">
      <x:c r="A5" s="18" t="str">
        <x:v>Interface / Device</x:v>
      </x:c>
      <x:c r="B5" s="18" t="str">
        <x:v>Baseline approach</x:v>
      </x:c>
      <x:c r="C5" s="18" t="str">
        <x:v>BOM sheet</x:v>
      </x:c>
      <x:c r="D5" s="18" t="str">
        <x:v>Connection</x:v>
      </x:c>
    </x:row>
    <x:row r="6">
      <x:c r="A6" s="24" t="str">
        <x:v>Shared analog DAQ</x:v>
      </x:c>
      <x:c r="B6" s="24" t="str">
        <x:v>Feather native A0-A3 ADC</x:v>
      </x:c>
      <x:c r="C6" s="24" t="str">
        <x:v>Analog DAQ Core</x:v>
      </x:c>
      <x:c r="D6" s="24" t="str">
        <x:v>30.1k/10k divider + 100 nF per populated channel</x:v>
      </x:c>
    </x:row>
    <x:row r="7">
      <x:c r="A7" s="24" t="str">
        <x:v>Granville-Phillips 475</x:v>
      </x:c>
      <x:c r="B7" s="24" t="str">
        <x:v>0-7 V logarithmic analog output</x:v>
      </x:c>
      <x:c r="C7" s="24" t="str">
        <x:v>GP475 Analog</x:v>
      </x:c>
      <x:c r="D7" s="24" t="str">
        <x:v>Feather A0 / CH0</x:v>
      </x:c>
    </x:row>
    <x:row r="8">
      <x:c r="A8" s="24" t="str">
        <x:v>MKS PDR-D-1</x:v>
      </x:c>
      <x:c r="B8" s="24" t="str">
        <x:v>0-10 V linear DC OUT</x:v>
      </x:c>
      <x:c r="C8" s="24" t="str">
        <x:v>PDR-D-1 Analog</x:v>
      </x:c>
      <x:c r="D8" s="24" t="str">
        <x:v>Feather A1 / CH1; enter Baratron full-scale range</x:v>
      </x:c>
    </x:row>
    <x:row r="9">
      <x:c r="A9" s="24" t="str">
        <x:v>Leybold GRAPHIX</x:v>
      </x:c>
      <x:c r="B9" s="24" t="str">
        <x:v>Direct RS-232</x:v>
      </x:c>
      <x:c r="C9" s="24" t="str">
        <x:v>GRAPHIX RS232</x:v>
      </x:c>
      <x:c r="D9" s="24" t="str">
        <x:v>True USB-RS232 + straight-through DB9 cable</x:v>
      </x:c>
    </x:row>
    <x:row r="11">
      <x:c r="A11" s="18" t="str">
        <x:v>Required baseline cost</x:v>
      </x:c>
      <x:c r="B11" s="18" t="str">
        <x:v>USD</x:v>
      </x:c>
      <x:c r="C11" s="18" t="str">
        <x:v>Basis</x:v>
      </x:c>
    </x:row>
    <x:row r="12">
      <x:c r="A12" t="str">
        <x:v>Analog DAQ Core</x:v>
      </x:c>
      <x:c r="B12" s="34" t="n">
        <x:f>'Analog DAQ Core'!J14</x:f>
        <x:v>31.299999999999997</x:v>
      </x:c>
      <x:c r="C12" t="str">
        <x:v>Excludes the 'If needed' bulk hookup-wire set</x:v>
      </x:c>
    </x:row>
    <x:row r="13">
      <x:c r="A13" t="str">
        <x:v>GP475 Analog</x:v>
      </x:c>
      <x:c r="B13" s="34" t="n">
        <x:f>'GP475 Analog'!J8</x:f>
        <x:v>12.16</x:v>
      </x:c>
      <x:c r="C13" t="str">
        <x:v>Assumes a 6 ft shielded analog cable run</x:v>
      </x:c>
    </x:row>
    <x:row r="14">
      <x:c r="A14" t="str">
        <x:v>PDR-D-1 Analog</x:v>
      </x:c>
      <x:c r="B14" s="34" t="n">
        <x:f>'PDR-D-1 Analog'!J7</x:f>
        <x:v>9.66</x:v>
      </x:c>
      <x:c r="C14" t="str">
        <x:v>Assumes a 6 ft shielded analog cable run</x:v>
      </x:c>
    </x:row>
    <x:row r="15">
      <x:c r="A15" t="str">
        <x:v>GRAPHIX RS232</x:v>
      </x:c>
      <x:c r="B15" s="34" t="n">
        <x:f>'GRAPHIX RS232'!J8</x:f>
        <x:v>30.5</x:v>
      </x:c>
      <x:c r="C15" t="str">
        <x:v>Preferred USBGear FTDI adapter + 1 m straight-through cable</x:v>
      </x:c>
    </x:row>
    <x:row r="16">
      <x:c r="A16" s="31" t="str">
        <x:v>Illustrative required total</x:v>
      </x:c>
      <x:c r="B16" s="35" t="n">
        <x:f>SUM(B12:B15)</x:f>
        <x:v>83.61999999999999</x:v>
      </x:c>
      <x:c r="C16" s="31" t="str">
        <x:v>Before shipping/tax; verify cable lengths before ordering</x:v>
      </x:c>
    </x:row>
    <x:row r="18">
      <x:c r="A18" s="43" t="str">
        <x:v>Purchase URLs point to concrete products. Prices are approximate snapshots and may change. The two 6 ft Belden cable quantities are only budgeting assumptions; replace them with your actual run lengths.</x:v>
      </x:c>
      <x:c r="B18" s="43"/>
      <x:c r="C18" s="43"/>
      <x:c r="D18" s="43"/>
      <x:c r="E18" s="43"/>
      <x:c r="F18" s="43"/>
      <x:c r="G18" s="43"/>
      <x:c r="H18" s="43"/>
    </x:row>
    <x:row r="19">
      <x:c r="A19" s="43"/>
      <x:c r="B19" s="43"/>
      <x:c r="C19" s="43"/>
      <x:c r="D19" s="43"/>
      <x:c r="E19" s="43"/>
      <x:c r="F19" s="43"/>
      <x:c r="G19" s="43"/>
      <x:c r="H19" s="43"/>
    </x:row>
  </x:sheetData>
  <x:mergeCells>
    <x:mergeCell ref="A1:H1"/>
    <x:mergeCell ref="A3:H3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0" hidden="0" customWidth="1"/>
    <x:col min="4" max="4" width="8" hidden="0" customWidth="1"/>
    <x:col min="5" max="5" width="30" hidden="0" customWidth="1"/>
    <x:col min="6" max="6" width="27" hidden="0" customWidth="1"/>
    <x:col min="7" max="7" width="15" hidden="0" customWidth="1"/>
    <x:col min="8" max="8" width="15" hidden="0" customWidth="1"/>
    <x:col min="9" max="9" width="48" hidden="0" customWidth="1"/>
    <x:col min="10" max="10" width="16" hidden="0" customWidth="1"/>
    <x:col min="11" max="11" width="48" hidden="0" customWidth="1"/>
    <x:col min="12" max="12" width="42" hidden="0" customWidth="1"/>
  </x:cols>
  <x:sheetData>
    <x:row r="1" ht="28" customHeight="1">
      <x:c r="A1" s="4" t="str">
        <x:v>Analog DAQ Core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27" t="str">
        <x:v>Shared hardware for both analog gauges. The current build populates two of the Feather's four ADC channels.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 ht="34" customHeight="1">
      <x:c r="A4" s="18" t="str">
        <x:v>Include</x:v>
      </x:c>
      <x:c r="B4" s="18" t="str">
        <x:v>Qty Current</x:v>
      </x:c>
      <x:c r="C4" s="18" t="str">
        <x:v>Qty 4-Ch</x:v>
      </x:c>
      <x:c r="D4" s="18" t="str">
        <x:v>Unit</x:v>
      </x:c>
      <x:c r="E4" s="18" t="str">
        <x:v>Item</x:v>
      </x:c>
      <x:c r="F4" s="18" t="str">
        <x:v>Manufacturer / Part</x:v>
      </x:c>
      <x:c r="G4" s="18" t="str">
        <x:v>Approx Unit Price (USD)</x:v>
      </x:c>
      <x:c r="H4" s="18" t="str">
        <x:v>Current Ext. Cost</x:v>
      </x:c>
      <x:c r="I4" s="18" t="str">
        <x:v>Use / Wiring</x:v>
      </x:c>
      <x:c r="J4" s="18" t="str">
        <x:v>Required Baseline Cost</x:v>
      </x:c>
      <x:c r="K4" s="18" t="str">
        <x:v>Purchase URL</x:v>
      </x:c>
      <x:c r="L4" s="18" t="str">
        <x:v>Notes</x:v>
      </x:c>
    </x:row>
    <x:row r="5">
      <x:c r="A5" s="24" t="str">
        <x:v>Yes</x:v>
      </x:c>
      <x:c r="B5" s="24" t="n">
        <x:v>1</x:v>
      </x:c>
      <x:c r="C5" s="24" t="n">
        <x:v>1</x:v>
      </x:c>
      <x:c r="D5" s="24" t="str">
        <x:v>ea</x:v>
      </x:c>
      <x:c r="E5" s="24" t="str">
        <x:v>Adafruit Feather RP2040 Adalogger</x:v>
      </x:c>
      <x:c r="F5" s="24" t="str">
        <x:v>Adafruit PID 5980</x:v>
      </x:c>
      <x:c r="G5" s="38" t="n">
        <x:v>14.95</x:v>
      </x:c>
      <x:c r="H5" s="38" t="n">
        <x:f>B5*G5</x:f>
        <x:v>14.95</x:v>
      </x:c>
      <x:c r="I5" s="38" t="str">
        <x:v>USB DAQ controller; uses onboard A0-A3 12-bit ADCs | USB-C to laptop; A0=GP475, A1=PDR-D-1; GND is analog return</x:v>
      </x:c>
      <x:c r="J5" s="38" t="n">
        <x:f>IF(A5="Yes",H5,0)</x:f>
        <x:v>14.95</x:v>
      </x:c>
      <x:c r="K5" s="24" t="str">
        <x:v>https://www.adafruit.com/product/5980</x:v>
      </x:c>
      <x:c r="L5" s="24" t="str">
        <x:v>External ADS1115 is not required for the baseline design.</x:v>
      </x:c>
    </x:row>
    <x:row r="6">
      <x:c r="A6" s="24" t="str">
        <x:v>Yes</x:v>
      </x:c>
      <x:c r="B6" s="24" t="n">
        <x:v>1</x:v>
      </x:c>
      <x:c r="C6" s="24" t="n">
        <x:v>1</x:v>
      </x:c>
      <x:c r="D6" s="24" t="str">
        <x:v>ea</x:v>
      </x:c>
      <x:c r="E6" s="24" t="str">
        <x:v>USB Type-A to USB-C data cable, ~1 m</x:v>
      </x:c>
      <x:c r="F6" s="24" t="str">
        <x:v>Adafruit PID 4474</x:v>
      </x:c>
      <x:c r="G6" s="38" t="n">
        <x:v>4.95</x:v>
      </x:c>
      <x:c r="H6" s="38" t="n">
        <x:f>B6*G6</x:f>
        <x:v>4.95</x:v>
      </x:c>
      <x:c r="I6" s="38" t="str">
        <x:v>DAQ-to-laptop USB data and power | Laptop USB-A &lt;-&gt; Feather USB-C</x:v>
      </x:c>
      <x:c r="J6" s="38" t="n">
        <x:f>IF(A6="Yes",H6,0)</x:f>
        <x:v>4.95</x:v>
      </x:c>
      <x:c r="K6" s="24" t="str">
        <x:v>https://www.adafruit.com/product/4474</x:v>
      </x:c>
      <x:c r="L6" s="24" t="str">
        <x:v>Substitute a known data-capable USB-C cable if your laptop uses USB-C.</x:v>
      </x:c>
    </x:row>
    <x:row r="7">
      <x:c r="A7" s="24" t="str">
        <x:v>Yes</x:v>
      </x:c>
      <x:c r="B7" s="24" t="n">
        <x:v>1</x:v>
      </x:c>
      <x:c r="C7" s="24" t="n">
        <x:v>1</x:v>
      </x:c>
      <x:c r="D7" s="24" t="str">
        <x:v>ea</x:v>
      </x:c>
      <x:c r="E7" s="24" t="str">
        <x:v>Half-size Perma-Proto PCB</x:v>
      </x:c>
      <x:c r="F7" s="24" t="str">
        <x:v>Adafruit PID 1609</x:v>
      </x:c>
      <x:c r="G7" s="38" t="n">
        <x:v>4.5</x:v>
      </x:c>
      <x:c r="H7" s="38" t="n">
        <x:f>B7*G7</x:f>
        <x:v>4.5</x:v>
      </x:c>
      <x:c r="I7" s="38" t="str">
        <x:v>Mount resistor dividers, filters and terminal blocks | Solder front-end components; wire A0-A3 and GND to Feather</x:v>
      </x:c>
      <x:c r="J7" s="38" t="n">
        <x:f>IF(A7="Yes",H7,0)</x:f>
        <x:v>4.5</x:v>
      </x:c>
      <x:c r="K7" s="24" t="str">
        <x:v>https://www.adafruit.com/product/1609</x:v>
      </x:c>
      <x:c r="L7" s="24" t="str">
        <x:v>A custom PCB can replace this later.</x:v>
      </x:c>
    </x:row>
    <x:row r="8">
      <x:c r="A8" s="24" t="str">
        <x:v>Yes</x:v>
      </x:c>
      <x:c r="B8" s="24" t="n">
        <x:v>2</x:v>
      </x:c>
      <x:c r="C8" s="24" t="n">
        <x:v>4</x:v>
      </x:c>
      <x:c r="D8" s="24" t="str">
        <x:v>ea</x:v>
      </x:c>
      <x:c r="E8" s="24" t="str">
        <x:v>30.1 kΩ ±0.1% metal-film resistor</x:v>
      </x:c>
      <x:c r="F8" s="24" t="str">
        <x:v>TE Connectivity YR1B30K1CC</x:v>
      </x:c>
      <x:c r="G8" s="38" t="n">
        <x:v>1.01</x:v>
      </x:c>
      <x:c r="H8" s="38" t="n">
        <x:f>B8*G8</x:f>
        <x:v>2.02</x:v>
      </x:c>
      <x:c r="I8" s="38" t="str">
        <x:v>Top resistor in each 0-10 V divider | Instrument signal -&gt; 30.1k -&gt; ADC node</x:v>
      </x:c>
      <x:c r="J8" s="38" t="n">
        <x:f>IF(A8="Yes",H8,0)</x:f>
        <x:v>2.02</x:v>
      </x:c>
      <x:c r="K8" s="24" t="str">
        <x:v>https://www.digikey.com/en/products/detail/te-connectivity-passive-product/YR1B30K1CC/18101807</x:v>
      </x:c>
      <x:c r="L8" s="24" t="str">
        <x:v>One per populated analog channel.</x:v>
      </x:c>
    </x:row>
    <x:row r="9">
      <x:c r="A9" s="24" t="str">
        <x:v>Yes</x:v>
      </x:c>
      <x:c r="B9" s="24" t="n">
        <x:v>2</x:v>
      </x:c>
      <x:c r="C9" s="24" t="n">
        <x:v>4</x:v>
      </x:c>
      <x:c r="D9" s="24" t="str">
        <x:v>ea</x:v>
      </x:c>
      <x:c r="E9" s="24" t="str">
        <x:v>10.0 kΩ ±0.1% metal-film resistor</x:v>
      </x:c>
      <x:c r="F9" s="24" t="str">
        <x:v>TE Connectivity YR1B10KCC</x:v>
      </x:c>
      <x:c r="G9" s="38" t="n">
        <x:v>0.97</x:v>
      </x:c>
      <x:c r="H9" s="38" t="n">
        <x:f>B9*G9</x:f>
        <x:v>1.94</x:v>
      </x:c>
      <x:c r="I9" s="38" t="str">
        <x:v>Bottom resistor in each 0-10 V divider | ADC node -&gt; 10.0k -&gt; signal ground</x:v>
      </x:c>
      <x:c r="J9" s="38" t="n">
        <x:f>IF(A9="Yes",H9,0)</x:f>
        <x:v>1.94</x:v>
      </x:c>
      <x:c r="K9" s="24" t="str">
        <x:v>https://www.digikey.com/en/products/detail/te-connectivity-passive-product/YR1B10KCC/2389737</x:v>
      </x:c>
      <x:c r="L9" s="24" t="str">
        <x:v>With 30.1k top resistor, divider reconstruction gain = 4.01.</x:v>
      </x:c>
    </x:row>
    <x:row r="10">
      <x:c r="A10" s="24" t="str">
        <x:v>Yes</x:v>
      </x:c>
      <x:c r="B10" s="24" t="n">
        <x:v>2</x:v>
      </x:c>
      <x:c r="C10" s="24" t="n">
        <x:v>4</x:v>
      </x:c>
      <x:c r="D10" s="24" t="str">
        <x:v>ea</x:v>
      </x:c>
      <x:c r="E10" s="24" t="str">
        <x:v>100 nF, 50 V, X7R ceramic capacitor</x:v>
      </x:c>
      <x:c r="F10" s="24" t="str">
        <x:v>Murata RDER71H104K0K1H03B</x:v>
      </x:c>
      <x:c r="G10" s="38" t="n">
        <x:v>0.52</x:v>
      </x:c>
      <x:c r="H10" s="38" t="n">
        <x:f>B10*G10</x:f>
        <x:v>1.04</x:v>
      </x:c>
      <x:c r="I10" s="38" t="str">
        <x:v>Low-pass/noise filter on each ADC input | ADC node -&gt; 100 nF -&gt; signal ground</x:v>
      </x:c>
      <x:c r="J10" s="38" t="n">
        <x:f>IF(A10="Yes",H10,0)</x:f>
        <x:v>1.04</x:v>
      </x:c>
      <x:c r="K10" s="24" t="str">
        <x:v>https://www.digikey.com/en/products/detail/murata-electronics/RDER71H104K0K1H03B/4770969</x:v>
      </x:c>
      <x:c r="L10" s="24" t="str">
        <x:v>One per populated analog channel.</x:v>
      </x:c>
    </x:row>
    <x:row r="11">
      <x:c r="A11" s="24" t="str">
        <x:v>Yes</x:v>
      </x:c>
      <x:c r="B11" s="24" t="n">
        <x:v>2</x:v>
      </x:c>
      <x:c r="C11" s="24" t="n">
        <x:v>4</x:v>
      </x:c>
      <x:c r="D11" s="24" t="str">
        <x:v>ea</x:v>
      </x:c>
      <x:c r="E11" s="24" t="str">
        <x:v>2-pin 2.54 mm screw terminal block</x:v>
      </x:c>
      <x:c r="F11" s="24" t="str">
        <x:v>Adafruit PID 2138</x:v>
      </x:c>
      <x:c r="G11" s="38" t="n">
        <x:v>0.95</x:v>
      </x:c>
      <x:c r="H11" s="38" t="n">
        <x:f>B11*G11</x:f>
        <x:v>1.9</x:v>
      </x:c>
      <x:c r="I11" s="38" t="str">
        <x:v>Detachable signal/ground input for each analog instrument | One terminal pair per analog channel</x:v>
      </x:c>
      <x:c r="J11" s="38" t="n">
        <x:f>IF(A11="Yes",H11,0)</x:f>
        <x:v>1.9</x:v>
      </x:c>
      <x:c r="K11" s="24" t="str">
        <x:v>https://www.adafruit.com/product/2138</x:v>
      </x:c>
      <x:c r="L11" s="24" t="str">
        <x:v>26-20 AWG rated by Adafruit.</x:v>
      </x:c>
    </x:row>
    <x:row r="12">
      <x:c r="A12" s="24" t="str">
        <x:v>If needed</x:v>
      </x:c>
      <x:c r="B12" s="24" t="n">
        <x:v>1</x:v>
      </x:c>
      <x:c r="C12" s="24" t="n">
        <x:v>1</x:v>
      </x:c>
      <x:c r="D12" s="24" t="str">
        <x:v>set</x:v>
      </x:c>
      <x:c r="E12" s="24" t="str">
        <x:v>22 AWG solid-core hookup wire set</x:v>
      </x:c>
      <x:c r="F12" s="24" t="str">
        <x:v>Adafruit PID 1311</x:v>
      </x:c>
      <x:c r="G12" s="38" t="n">
        <x:v>15.95</x:v>
      </x:c>
      <x:c r="H12" s="38" t="n">
        <x:f>B12*G12</x:f>
        <x:v>15.95</x:v>
      </x:c>
      <x:c r="I12" s="38" t="str">
        <x:v>Internal DAQ wiring between Feather and protoboard | Short internal point-to-point runs only</x:v>
      </x:c>
      <x:c r="J12" s="38" t="n">
        <x:f>IF(A12="Yes",H12,0)</x:f>
        <x:v>0</x:v>
      </x:c>
      <x:c r="K12" s="24" t="str">
        <x:v>https://www.adafruit.com/product/1311</x:v>
      </x:c>
      <x:c r="L12" s="24" t="str">
        <x:v>Use existing lab hookup wire instead if available; not included in baseline total.</x:v>
      </x:c>
    </x:row>
    <x:row r="13">
      <x:c r="A13" s="24"/>
      <x:c r="B13" s="24"/>
      <x:c r="C13" s="24"/>
      <x:c r="D13" s="24"/>
      <x:c r="E13" s="24"/>
      <x:c r="F13" s="24"/>
      <x:c r="G13" s="38"/>
      <x:c r="H13" s="38"/>
      <x:c r="I13" s="38"/>
      <x:c r="J13" s="38"/>
      <x:c r="K13" s="24"/>
      <x:c r="L13" s="24"/>
    </x:row>
    <x:row r="14">
      <x:c r="A14" s="24"/>
      <x:c r="B14" s="24"/>
      <x:c r="C14" s="24"/>
      <x:c r="D14" s="24"/>
      <x:c r="E14" s="24"/>
      <x:c r="F14" s="24"/>
      <x:c r="G14" s="38"/>
      <x:c r="H14" s="38"/>
      <x:c r="I14" s="39" t="str">
        <x:v>Required baseline subtotal</x:v>
      </x:c>
      <x:c r="J14" s="39" t="n">
        <x:f>SUM(J5:J12)</x:f>
        <x:v>31.299999999999997</x:v>
      </x:c>
      <x:c r="K14" s="24"/>
      <x:c r="L14" s="24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0" hidden="0" customWidth="1"/>
    <x:col min="4" max="4" width="8" hidden="0" customWidth="1"/>
    <x:col min="5" max="5" width="30" hidden="0" customWidth="1"/>
    <x:col min="6" max="6" width="27" hidden="0" customWidth="1"/>
    <x:col min="7" max="7" width="15" hidden="0" customWidth="1"/>
    <x:col min="8" max="8" width="15" hidden="0" customWidth="1"/>
    <x:col min="9" max="9" width="48" hidden="0" customWidth="1"/>
    <x:col min="10" max="10" width="16" hidden="0" customWidth="1"/>
    <x:col min="11" max="11" width="48" hidden="0" customWidth="1"/>
    <x:col min="12" max="12" width="42" hidden="0" customWidth="1"/>
  </x:cols>
  <x:sheetData>
    <x:row r="1" ht="28" customHeight="1">
      <x:c r="A1" s="4" t="str">
        <x:v>GP475 Analog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27" t="str">
        <x:v>Device-specific connection from the GP475 analog-output jack to Feather A0 / CH0.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 ht="34" customHeight="1">
      <x:c r="A4" s="18" t="str">
        <x:v>Include</x:v>
      </x:c>
      <x:c r="B4" s="18" t="str">
        <x:v>Qty Current</x:v>
      </x:c>
      <x:c r="C4" s="18" t="str">
        <x:v>Qty 4-Ch</x:v>
      </x:c>
      <x:c r="D4" s="18" t="str">
        <x:v>Unit</x:v>
      </x:c>
      <x:c r="E4" s="18" t="str">
        <x:v>Item</x:v>
      </x:c>
      <x:c r="F4" s="18" t="str">
        <x:v>Manufacturer / Part</x:v>
      </x:c>
      <x:c r="G4" s="18" t="str">
        <x:v>Approx Unit Price (USD)</x:v>
      </x:c>
      <x:c r="H4" s="18" t="str">
        <x:v>Current Ext. Cost</x:v>
      </x:c>
      <x:c r="I4" s="18" t="str">
        <x:v>Use / Wiring</x:v>
      </x:c>
      <x:c r="J4" s="18" t="str">
        <x:v>Required Baseline Cost</x:v>
      </x:c>
      <x:c r="K4" s="18" t="str">
        <x:v>Purchase URL</x:v>
      </x:c>
      <x:c r="L4" s="18" t="str">
        <x:v>Notes</x:v>
      </x:c>
    </x:row>
    <x:row r="5">
      <x:c r="A5" s="24" t="str">
        <x:v>Yes</x:v>
      </x:c>
      <x:c r="B5" s="24" t="n">
        <x:v>1</x:v>
      </x:c>
      <x:c r="C5" s="24" t="n">
        <x:v>1</x:v>
      </x:c>
      <x:c r="D5" s="24" t="str">
        <x:v>ea</x:v>
      </x:c>
      <x:c r="E5" s="24" t="str">
        <x:v>3.5 mm plug to screw-terminal adapter</x:v>
      </x:c>
      <x:c r="F5" s="24" t="str">
        <x:v>Adafruit PID 2790</x:v>
      </x:c>
      <x:c r="G5" s="38" t="n">
        <x:v>2.5</x:v>
      </x:c>
      <x:c r="H5" s="38" t="n">
        <x:f>B5*G5</x:f>
        <x:v>2.5</x:v>
      </x:c>
      <x:c r="I5" s="38" t="str">
        <x:v>Break out the GP475 rear analog-output phone jack | Use the signal/return contacts specified by the GP475 manual; leave unused contact open</x:v>
      </x:c>
      <x:c r="J5" s="38" t="n">
        <x:f>IF(A5="Yes",H5,0)</x:f>
        <x:v>2.5</x:v>
      </x:c>
      <x:c r="K5" s="24" t="str">
        <x:v>https://www.adafruit.com/product/2790</x:v>
      </x:c>
      <x:c r="L5" s="24" t="str">
        <x:v>This adapter is TRS; verify the exact GP475 jack contact assignment before wiring.</x:v>
      </x:c>
    </x:row>
    <x:row r="6">
      <x:c r="A6" s="24" t="str">
        <x:v>Yes</x:v>
      </x:c>
      <x:c r="B6" s="24" t="n">
        <x:v>6</x:v>
      </x:c>
      <x:c r="C6" s="24" t="n">
        <x:v>6</x:v>
      </x:c>
      <x:c r="D6" s="24" t="str">
        <x:v>ft</x:v>
      </x:c>
      <x:c r="E6" s="24" t="str">
        <x:v>Belden 9451 shielded twisted-pair cable</x:v>
      </x:c>
      <x:c r="F6" s="24" t="str">
        <x:v>Belden 9451 (DigiKey cut length)</x:v>
      </x:c>
      <x:c r="G6" s="38" t="n">
        <x:v>1.61</x:v>
      </x:c>
      <x:c r="H6" s="38" t="n">
        <x:f>B6*G6</x:f>
        <x:v>9.66</x:v>
      </x:c>
      <x:c r="I6" s="38" t="str">
        <x:v>GP475 analog signal and return to DAQ | GP475 adapter -&gt; shielded pair -&gt; DAQ CH0 terminal</x:v>
      </x:c>
      <x:c r="J6" s="38" t="n">
        <x:f>IF(A6="Yes",H6,0)</x:f>
        <x:v>9.66</x:v>
      </x:c>
      <x:c r="K6" s="24" t="str">
        <x:v>https://www.digikey.com/en/products/detail/belden-inc/9451-008500/28740168</x:v>
      </x:c>
      <x:c r="L6" s="24" t="str">
        <x:v>6 ft is a budgeting assumption; order the actual installation length.</x:v>
      </x:c>
    </x:row>
    <x:row r="7">
      <x:c r="A7" s="24"/>
      <x:c r="B7" s="24"/>
      <x:c r="C7" s="24"/>
      <x:c r="D7" s="24"/>
      <x:c r="E7" s="24"/>
      <x:c r="F7" s="24"/>
      <x:c r="G7" s="38"/>
      <x:c r="H7" s="38"/>
      <x:c r="I7" s="38"/>
      <x:c r="J7" s="38"/>
      <x:c r="K7" s="24"/>
      <x:c r="L7" s="24"/>
    </x:row>
    <x:row r="8">
      <x:c r="A8" s="24"/>
      <x:c r="B8" s="24"/>
      <x:c r="C8" s="24"/>
      <x:c r="D8" s="24"/>
      <x:c r="E8" s="24"/>
      <x:c r="F8" s="24"/>
      <x:c r="G8" s="38"/>
      <x:c r="H8" s="38"/>
      <x:c r="I8" s="39" t="str">
        <x:v>Required baseline subtotal</x:v>
      </x:c>
      <x:c r="J8" s="39" t="n">
        <x:f>SUM(J5:J6)</x:f>
        <x:v>12.16</x:v>
      </x:c>
      <x:c r="K8" s="24"/>
      <x:c r="L8" s="24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0" hidden="0" customWidth="1"/>
    <x:col min="4" max="4" width="8" hidden="0" customWidth="1"/>
    <x:col min="5" max="5" width="30" hidden="0" customWidth="1"/>
    <x:col min="6" max="6" width="27" hidden="0" customWidth="1"/>
    <x:col min="7" max="7" width="15" hidden="0" customWidth="1"/>
    <x:col min="8" max="8" width="15" hidden="0" customWidth="1"/>
    <x:col min="9" max="9" width="48" hidden="0" customWidth="1"/>
    <x:col min="10" max="10" width="16" hidden="0" customWidth="1"/>
    <x:col min="11" max="11" width="48" hidden="0" customWidth="1"/>
    <x:col min="12" max="12" width="42" hidden="0" customWidth="1"/>
  </x:cols>
  <x:sheetData>
    <x:row r="1" ht="28" customHeight="1">
      <x:c r="A1" s="4" t="str">
        <x:v>PDR-D-1 Analog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27" t="str">
        <x:v>Device-specific connection from PDR-D-1 DC OUT / S GND to Feather A1 / CH1.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 ht="34" customHeight="1">
      <x:c r="A4" s="18" t="str">
        <x:v>Include</x:v>
      </x:c>
      <x:c r="B4" s="18" t="str">
        <x:v>Qty Current</x:v>
      </x:c>
      <x:c r="C4" s="18" t="str">
        <x:v>Qty 4-Ch</x:v>
      </x:c>
      <x:c r="D4" s="18" t="str">
        <x:v>Unit</x:v>
      </x:c>
      <x:c r="E4" s="18" t="str">
        <x:v>Item</x:v>
      </x:c>
      <x:c r="F4" s="18" t="str">
        <x:v>Manufacturer / Part</x:v>
      </x:c>
      <x:c r="G4" s="18" t="str">
        <x:v>Approx Unit Price (USD)</x:v>
      </x:c>
      <x:c r="H4" s="18" t="str">
        <x:v>Current Ext. Cost</x:v>
      </x:c>
      <x:c r="I4" s="18" t="str">
        <x:v>Use / Wiring</x:v>
      </x:c>
      <x:c r="J4" s="18" t="str">
        <x:v>Required Baseline Cost</x:v>
      </x:c>
      <x:c r="K4" s="18" t="str">
        <x:v>Purchase URL</x:v>
      </x:c>
      <x:c r="L4" s="18" t="str">
        <x:v>Notes</x:v>
      </x:c>
    </x:row>
    <x:row r="5">
      <x:c r="A5" s="24" t="str">
        <x:v>Yes</x:v>
      </x:c>
      <x:c r="B5" s="24" t="n">
        <x:v>6</x:v>
      </x:c>
      <x:c r="C5" s="24" t="n">
        <x:v>6</x:v>
      </x:c>
      <x:c r="D5" s="24" t="str">
        <x:v>ft</x:v>
      </x:c>
      <x:c r="E5" s="24" t="str">
        <x:v>Belden 9451 shielded twisted-pair cable</x:v>
      </x:c>
      <x:c r="F5" s="24" t="str">
        <x:v>Belden 9451 (DigiKey cut length)</x:v>
      </x:c>
      <x:c r="G5" s="38" t="n">
        <x:v>1.61</x:v>
      </x:c>
      <x:c r="H5" s="38" t="n">
        <x:f>B5*G5</x:f>
        <x:v>9.66</x:v>
      </x:c>
      <x:c r="I5" s="38" t="str">
        <x:v>PDR-D-1 DC OUT and S GND to DAQ | PDR DC OUT -&gt; signal conductor; S GND -&gt; return -&gt; DAQ CH1 terminal</x:v>
      </x:c>
      <x:c r="J5" s="38" t="n">
        <x:f>IF(A5="Yes",H5,0)</x:f>
        <x:v>9.66</x:v>
      </x:c>
      <x:c r="K5" s="24" t="str">
        <x:v>https://www.digikey.com/en/products/detail/belden-inc/9451-008500/28740168</x:v>
      </x:c>
      <x:c r="L5" s="24" t="str">
        <x:v>6 ft is a budgeting assumption; PDR side lands directly on the existing rear terminal strip.</x:v>
      </x:c>
    </x:row>
    <x:row r="6">
      <x:c r="A6" s="24"/>
      <x:c r="B6" s="24"/>
      <x:c r="C6" s="24"/>
      <x:c r="D6" s="24"/>
      <x:c r="E6" s="24"/>
      <x:c r="F6" s="24"/>
      <x:c r="G6" s="38"/>
      <x:c r="H6" s="38"/>
      <x:c r="I6" s="38"/>
      <x:c r="J6" s="38"/>
      <x:c r="K6" s="24"/>
      <x:c r="L6" s="24"/>
    </x:row>
    <x:row r="7">
      <x:c r="A7" s="24"/>
      <x:c r="B7" s="24"/>
      <x:c r="C7" s="24"/>
      <x:c r="D7" s="24"/>
      <x:c r="E7" s="24"/>
      <x:c r="F7" s="24"/>
      <x:c r="G7" s="38"/>
      <x:c r="H7" s="38"/>
      <x:c r="I7" s="39" t="str">
        <x:v>Required baseline subtotal</x:v>
      </x:c>
      <x:c r="J7" s="39" t="n">
        <x:f>SUM(J5:J5)</x:f>
        <x:v>9.66</x:v>
      </x:c>
      <x:c r="K7" s="24"/>
      <x:c r="L7" s="24"/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0" hidden="0" customWidth="1"/>
    <x:col min="4" max="4" width="8" hidden="0" customWidth="1"/>
    <x:col min="5" max="5" width="30" hidden="0" customWidth="1"/>
    <x:col min="6" max="6" width="27" hidden="0" customWidth="1"/>
    <x:col min="7" max="7" width="15" hidden="0" customWidth="1"/>
    <x:col min="8" max="8" width="15" hidden="0" customWidth="1"/>
    <x:col min="9" max="9" width="48" hidden="0" customWidth="1"/>
    <x:col min="10" max="10" width="16" hidden="0" customWidth="1"/>
    <x:col min="11" max="11" width="48" hidden="0" customWidth="1"/>
    <x:col min="12" max="12" width="42" hidden="0" customWidth="1"/>
  </x:cols>
  <x:sheetData>
    <x:row r="1" ht="28" customHeight="1">
      <x:c r="A1" s="4" t="str">
        <x:v>GRAPHIX RS232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27" t="str">
        <x:v>Direct digital link to the laptop; this does not use the Adalogger.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 ht="34" customHeight="1">
      <x:c r="A4" s="18" t="str">
        <x:v>Include</x:v>
      </x:c>
      <x:c r="B4" s="18" t="str">
        <x:v>Qty Current</x:v>
      </x:c>
      <x:c r="C4" s="18" t="str">
        <x:v>Qty 4-Ch</x:v>
      </x:c>
      <x:c r="D4" s="18" t="str">
        <x:v>Unit</x:v>
      </x:c>
      <x:c r="E4" s="18" t="str">
        <x:v>Item</x:v>
      </x:c>
      <x:c r="F4" s="18" t="str">
        <x:v>Manufacturer / Part</x:v>
      </x:c>
      <x:c r="G4" s="18" t="str">
        <x:v>Approx Unit Price (USD)</x:v>
      </x:c>
      <x:c r="H4" s="18" t="str">
        <x:v>Current Ext. Cost</x:v>
      </x:c>
      <x:c r="I4" s="18" t="str">
        <x:v>Use / Wiring</x:v>
      </x:c>
      <x:c r="J4" s="18" t="str">
        <x:v>Required Baseline Cost</x:v>
      </x:c>
      <x:c r="K4" s="18" t="str">
        <x:v>Purchase URL</x:v>
      </x:c>
      <x:c r="L4" s="18" t="str">
        <x:v>Notes</x:v>
      </x:c>
    </x:row>
    <x:row r="5">
      <x:c r="A5" s="24" t="str">
        <x:v>Yes</x:v>
      </x:c>
      <x:c r="B5" s="24" t="n">
        <x:v>1</x:v>
      </x:c>
      <x:c r="C5" s="24" t="n">
        <x:v>1</x:v>
      </x:c>
      <x:c r="D5" s="24" t="str">
        <x:v>ea</x:v>
      </x:c>
      <x:c r="E5" s="24" t="str">
        <x:v>FTDI USB-to-RS232 adapter, DB9 male</x:v>
      </x:c>
      <x:c r="F5" s="24" t="str">
        <x:v>USBGear USBG-232</x:v>
      </x:c>
      <x:c r="G5" s="38" t="n">
        <x:v>21.29</x:v>
      </x:c>
      <x:c r="H5" s="38" t="n">
        <x:f>B5*G5</x:f>
        <x:v>21.29</x:v>
      </x:c>
      <x:c r="I5" s="38" t="str">
        <x:v>Convert laptop USB to true RS-232 for GRAPHIX | Laptop USB -&gt; USBG-232 -&gt; straight-through DB9 extension -&gt; GRAPHIX</x:v>
      </x:c>
      <x:c r="J5" s="38" t="n">
        <x:f>IF(A5="Yes",H5,0)</x:f>
        <x:v>21.29</x:v>
      </x:c>
      <x:c r="K5" s="24" t="str">
        <x:v>https://www.usbgear.com/usbg-232.html</x:v>
      </x:c>
      <x:c r="L5" s="24" t="str">
        <x:v>Preferred robust option; FT231X and ESD protection. Do not substitute TTL UART.</x:v>
      </x:c>
    </x:row>
    <x:row r="6">
      <x:c r="A6" s="24" t="str">
        <x:v>Yes</x:v>
      </x:c>
      <x:c r="B6" s="24" t="n">
        <x:v>1</x:v>
      </x:c>
      <x:c r="C6" s="24" t="n">
        <x:v>1</x:v>
      </x:c>
      <x:c r="D6" s="24" t="str">
        <x:v>ea</x:v>
      </x:c>
      <x:c r="E6" s="24" t="str">
        <x:v>1 m shielded straight-through DB9 male-to-female cable</x:v>
      </x:c>
      <x:c r="F6" s="24" t="str">
        <x:v>StarTech MXT1001MBK</x:v>
      </x:c>
      <x:c r="G6" s="38" t="n">
        <x:v>9.21</x:v>
      </x:c>
      <x:c r="H6" s="38" t="n">
        <x:f>B6*G6</x:f>
        <x:v>9.21</x:v>
      </x:c>
      <x:c r="I6" s="38" t="str">
        <x:v>GRAPHIX serial extension | USB-RS232 adapter DB9 -&gt; straight-through cable -&gt; GRAPHIX DB9</x:v>
      </x:c>
      <x:c r="J6" s="38" t="n">
        <x:f>IF(A6="Yes",H6,0)</x:f>
        <x:v>9.21</x:v>
      </x:c>
      <x:c r="K6" s="24" t="str">
        <x:v>https://www.startech.com/en-us/cables/mxt1001mbk</x:v>
      </x:c>
      <x:c r="L6" s="24" t="str">
        <x:v>Must be straight-through, not null modem.</x:v>
      </x:c>
    </x:row>
    <x:row r="7">
      <x:c r="A7" s="24"/>
      <x:c r="B7" s="24"/>
      <x:c r="C7" s="24"/>
      <x:c r="D7" s="24"/>
      <x:c r="E7" s="24"/>
      <x:c r="F7" s="24"/>
      <x:c r="G7" s="38"/>
      <x:c r="H7" s="38"/>
      <x:c r="I7" s="38"/>
      <x:c r="J7" s="38"/>
      <x:c r="K7" s="24"/>
      <x:c r="L7" s="24"/>
    </x:row>
    <x:row r="8">
      <x:c r="A8" s="24"/>
      <x:c r="B8" s="24"/>
      <x:c r="C8" s="24"/>
      <x:c r="D8" s="24"/>
      <x:c r="E8" s="24"/>
      <x:c r="F8" s="24"/>
      <x:c r="G8" s="38"/>
      <x:c r="H8" s="38"/>
      <x:c r="I8" s="39" t="str">
        <x:v>Required baseline subtotal</x:v>
      </x:c>
      <x:c r="J8" s="39" t="n">
        <x:f>SUM(J5:J6)</x:f>
        <x:v>30.5</x:v>
      </x:c>
      <x:c r="K8" s="24"/>
      <x:c r="L8" s="24"/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0" hidden="0" customWidth="1"/>
    <x:col min="4" max="4" width="8" hidden="0" customWidth="1"/>
    <x:col min="5" max="5" width="30" hidden="0" customWidth="1"/>
    <x:col min="6" max="6" width="27" hidden="0" customWidth="1"/>
    <x:col min="7" max="7" width="15" hidden="0" customWidth="1"/>
    <x:col min="8" max="8" width="15" hidden="0" customWidth="1"/>
    <x:col min="9" max="9" width="48" hidden="0" customWidth="1"/>
    <x:col min="10" max="10" width="16" hidden="0" customWidth="1"/>
    <x:col min="11" max="11" width="48" hidden="0" customWidth="1"/>
    <x:col min="12" max="12" width="42" hidden="0" customWidth="1"/>
  </x:cols>
  <x:sheetData>
    <x:row r="1" ht="28" customHeight="1">
      <x:c r="A1" s="4" t="str">
        <x:v>Optional Upgrades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27" t="str">
        <x:v>Not required for the baseline build; higher-performance ADC and serial-adapter substitutions.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 ht="34" customHeight="1">
      <x:c r="A4" s="18" t="str">
        <x:v>Include</x:v>
      </x:c>
      <x:c r="B4" s="18" t="str">
        <x:v>Qty Current</x:v>
      </x:c>
      <x:c r="C4" s="18" t="str">
        <x:v>Qty 4-Ch</x:v>
      </x:c>
      <x:c r="D4" s="18" t="str">
        <x:v>Unit</x:v>
      </x:c>
      <x:c r="E4" s="18" t="str">
        <x:v>Item</x:v>
      </x:c>
      <x:c r="F4" s="18" t="str">
        <x:v>Manufacturer / Part</x:v>
      </x:c>
      <x:c r="G4" s="18" t="str">
        <x:v>Approx Unit Price (USD)</x:v>
      </x:c>
      <x:c r="H4" s="18" t="str">
        <x:v>Current Ext. Cost</x:v>
      </x:c>
      <x:c r="I4" s="18" t="str">
        <x:v>Use / Wiring</x:v>
      </x:c>
      <x:c r="J4" s="18" t="str">
        <x:v>Required Baseline Cost</x:v>
      </x:c>
      <x:c r="K4" s="18" t="str">
        <x:v>Purchase URL</x:v>
      </x:c>
      <x:c r="L4" s="18" t="str">
        <x:v>Notes</x:v>
      </x:c>
    </x:row>
    <x:row r="5">
      <x:c r="A5" s="24" t="str">
        <x:v>Optional</x:v>
      </x:c>
      <x:c r="B5" s="24" t="n">
        <x:v>1</x:v>
      </x:c>
      <x:c r="C5" s="24" t="n">
        <x:v>1</x:v>
      </x:c>
      <x:c r="D5" s="24" t="str">
        <x:v>ea</x:v>
      </x:c>
      <x:c r="E5" s="24" t="str">
        <x:v>ADS1115 16-bit ADC breakout</x:v>
      </x:c>
      <x:c r="F5" s="24" t="str">
        <x:v>Adafruit PID 1085</x:v>
      </x:c>
      <x:c r="G5" s="38" t="n">
        <x:v>14.95</x:v>
      </x:c>
      <x:c r="H5" s="38" t="n">
        <x:f>B5*G5</x:f>
        <x:v>14.95</x:v>
      </x:c>
      <x:c r="I5" s="38" t="str">
        <x:v>Optional higher-resolution/stability ADC | STEMMA QT/I2C to Feather; analog dividers then feed ADS1115 inputs</x:v>
      </x:c>
      <x:c r="J5" s="38" t="n">
        <x:f>IF(A5="Yes",H5,0)</x:f>
        <x:v>0</x:v>
      </x:c>
      <x:c r="K5" s="24" t="str">
        <x:v>https://www.adafruit.com/product/1085</x:v>
      </x:c>
      <x:c r="L5" s="24" t="str">
        <x:v>Useful if later accuracy, differential acquisition or ADC linearity warrants it; not required now.</x:v>
      </x:c>
    </x:row>
    <x:row r="6">
      <x:c r="A6" s="24" t="str">
        <x:v>Optional</x:v>
      </x:c>
      <x:c r="B6" s="24" t="n">
        <x:v>1</x:v>
      </x:c>
      <x:c r="C6" s="24" t="n">
        <x:v>1</x:v>
      </x:c>
      <x:c r="D6" s="24" t="str">
        <x:v>ea</x:v>
      </x:c>
      <x:c r="E6" s="24" t="str">
        <x:v>STEMMA QT / Qwiic 4-pin cable, 50 mm</x:v>
      </x:c>
      <x:c r="F6" s="24" t="str">
        <x:v>Adafruit PID 4399</x:v>
      </x:c>
      <x:c r="G6" s="38" t="n">
        <x:v>0.95</x:v>
      </x:c>
      <x:c r="H6" s="38" t="n">
        <x:f>B6*G6</x:f>
        <x:v>0.95</x:v>
      </x:c>
      <x:c r="I6" s="38" t="str">
        <x:v>Connect optional ADS1115 to Feather | Feather STEMMA QT &lt;-&gt; ADS1115 STEMMA QT</x:v>
      </x:c>
      <x:c r="J6" s="38" t="n">
        <x:f>IF(A6="Yes",H6,0)</x:f>
        <x:v>0</x:v>
      </x:c>
      <x:c r="K6" s="24" t="str">
        <x:v>https://www.adafruit.com/product/4399</x:v>
      </x:c>
      <x:c r="L6" s="24" t="str">
        <x:v>Only needed with the ADS1115 upgrade.</x:v>
      </x:c>
    </x:row>
    <x:row r="7">
      <x:c r="A7" s="24" t="str">
        <x:v>Budget alternative</x:v>
      </x:c>
      <x:c r="B7" s="24" t="n">
        <x:v>1</x:v>
      </x:c>
      <x:c r="C7" s="24" t="n">
        <x:v>1</x:v>
      </x:c>
      <x:c r="D7" s="24" t="str">
        <x:v>ea</x:v>
      </x:c>
      <x:c r="E7" s="24" t="str">
        <x:v>USB-to-RS232 adapter, DB9 male</x:v>
      </x:c>
      <x:c r="F7" s="24" t="str">
        <x:v>Sabrent CB-9P6F</x:v>
      </x:c>
      <x:c r="G7" s="38" t="n">
        <x:v>11.99</x:v>
      </x:c>
      <x:c r="H7" s="38" t="n">
        <x:f>B7*G7</x:f>
        <x:v>11.99</x:v>
      </x:c>
      <x:c r="I7" s="38" t="str">
        <x:v>Lower-cost alternative to USBGear GRAPHIX adapter | Laptop USB -&gt; adapter -&gt; straight-through DB9 -&gt; GRAPHIX</x:v>
      </x:c>
      <x:c r="J7" s="38" t="n">
        <x:f>IF(A7="Yes",H7,0)</x:f>
        <x:v>0</x:v>
      </x:c>
      <x:c r="K7" s="24" t="str">
        <x:v>https://sabrent.com/products/cb-9p6f</x:v>
      </x:c>
      <x:c r="L7" s="24" t="str">
        <x:v>Use instead of, not in addition to, the USBGear adapter.</x:v>
      </x:c>
    </x:row>
    <x:row r="8">
      <x:c r="A8" s="24" t="str">
        <x:v>USB-C alternative</x:v>
      </x:c>
      <x:c r="B8" s="24" t="n">
        <x:v>1</x:v>
      </x:c>
      <x:c r="C8" s="24" t="n">
        <x:v>1</x:v>
      </x:c>
      <x:c r="D8" s="24" t="str">
        <x:v>ea</x:v>
      </x:c>
      <x:c r="E8" s="24" t="str">
        <x:v>USB-C to RS232 FTDI adapter, DB9 male</x:v>
      </x:c>
      <x:c r="F8" s="24" t="str">
        <x:v>USBGear USBG-232-C</x:v>
      </x:c>
      <x:c r="G8" s="38" t="n">
        <x:v>26.49</x:v>
      </x:c>
      <x:c r="H8" s="38" t="n">
        <x:f>B8*G8</x:f>
        <x:v>26.49</x:v>
      </x:c>
      <x:c r="I8" s="38" t="str">
        <x:v>Direct USB-C alternative for GRAPHIX | Laptop USB-C -&gt; adapter -&gt; straight-through DB9 -&gt; GRAPHIX</x:v>
      </x:c>
      <x:c r="J8" s="38" t="n">
        <x:f>IF(A8="Yes",H8,0)</x:f>
        <x:v>0</x:v>
      </x:c>
      <x:c r="K8" s="24" t="str">
        <x:v>https://www.usbgear.com/usbg-232-c.html</x:v>
      </x:c>
      <x:c r="L8" s="24" t="str">
        <x:v>Use instead of the USB-A USBGear adapter if preferred.</x:v>
      </x:c>
    </x:row>
    <x:row r="9">
      <x:c r="A9" s="24"/>
      <x:c r="B9" s="24"/>
      <x:c r="C9" s="24"/>
      <x:c r="D9" s="24"/>
      <x:c r="E9" s="24"/>
      <x:c r="F9" s="24"/>
      <x:c r="G9" s="38"/>
      <x:c r="H9" s="38"/>
      <x:c r="I9" s="38"/>
      <x:c r="J9" s="38"/>
      <x:c r="K9" s="24"/>
      <x:c r="L9" s="24"/>
    </x:row>
    <x:row r="10">
      <x:c r="A10" s="24"/>
      <x:c r="B10" s="24"/>
      <x:c r="C10" s="24"/>
      <x:c r="D10" s="24"/>
      <x:c r="E10" s="24"/>
      <x:c r="F10" s="24"/>
      <x:c r="G10" s="38"/>
      <x:c r="H10" s="38"/>
      <x:c r="I10" s="39" t="str">
        <x:v>Required baseline subtotal</x:v>
      </x:c>
      <x:c r="J10" s="39" t="n">
        <x:f>SUM(J5:J8)</x:f>
        <x:v>0</x:v>
      </x:c>
      <x:c r="K10" s="24"/>
      <x:c r="L10" s="24"/>
    </x:row>
  </x:sheetData>
  <x:mergeCells>
    <x:mergeCell ref="A1:L1"/>
    <x:mergeCell ref="A2:L2"/>
  </x:mergeCells>
  <x:pageMargins left="0.7" right="0.7" top="0.75" bottom="0.75" header="0.3" footer="0.3"/>
</x:worksheet>
</file>